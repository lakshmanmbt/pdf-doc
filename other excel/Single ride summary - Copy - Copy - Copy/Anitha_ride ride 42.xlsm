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Single ride summary - Copy - Copy - Copy\"/>
    </mc:Choice>
  </mc:AlternateContent>
  <xr:revisionPtr revIDLastSave="0" documentId="13_ncr:1_{FDA657BC-732D-481B-898A-227DE7D7C3C7}" xr6:coauthVersionLast="47" xr6:coauthVersionMax="47" xr10:uidLastSave="{00000000-0000-0000-0000-000000000000}"/>
  <bookViews>
    <workbookView xWindow="-120" yWindow="-120" windowWidth="21840" windowHeight="13740" tabRatio="839" activeTab="1" xr2:uid="{00000000-000D-0000-FFFF-FFFF00000000}"/>
  </bookViews>
  <sheets>
    <sheet name="All table" sheetId="38" r:id="rId1"/>
    <sheet name="Single Ride Summary" sheetId="41" r:id="rId2"/>
  </sheets>
  <definedNames>
    <definedName name="_xlnm._FilterDatabase" localSheetId="0" hidden="1">'All table'!$A$1:$J$78</definedName>
    <definedName name="Happy">#REF!</definedName>
    <definedName name="toolti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2" i="38" l="1"/>
  <c r="Y23" i="38"/>
  <c r="Y24" i="38"/>
  <c r="Y25" i="38"/>
  <c r="Y26" i="38"/>
  <c r="Y27" i="38"/>
  <c r="Y28" i="38"/>
  <c r="Y21" i="38"/>
  <c r="X22" i="38"/>
  <c r="X23" i="38"/>
  <c r="X24" i="38"/>
  <c r="X25" i="38"/>
  <c r="X26" i="38"/>
  <c r="X27" i="38"/>
  <c r="X28" i="38"/>
  <c r="X21" i="38"/>
  <c r="W22" i="38"/>
  <c r="W23" i="38"/>
  <c r="W24" i="38"/>
  <c r="W25" i="38"/>
  <c r="W26" i="38"/>
  <c r="W27" i="38"/>
  <c r="W28" i="38"/>
  <c r="W21" i="38"/>
  <c r="V22" i="38"/>
  <c r="V23" i="38"/>
  <c r="V24" i="38"/>
  <c r="V25" i="38"/>
  <c r="V26" i="38"/>
  <c r="V27" i="38"/>
  <c r="V28" i="38"/>
  <c r="V21" i="38"/>
  <c r="O6" i="38"/>
  <c r="A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O2" i="38"/>
  <c r="J78" i="38"/>
  <c r="I78" i="38"/>
  <c r="A78" i="38"/>
  <c r="J77" i="38"/>
  <c r="I77" i="38"/>
  <c r="A77" i="38"/>
  <c r="J76" i="38"/>
  <c r="I76" i="38"/>
  <c r="A76" i="38"/>
  <c r="J75" i="38"/>
  <c r="I75" i="38"/>
  <c r="A75" i="38"/>
  <c r="J74" i="38"/>
  <c r="I74" i="38"/>
  <c r="A74" i="38"/>
  <c r="J73" i="38"/>
  <c r="I73" i="38"/>
  <c r="A73" i="38"/>
  <c r="J72" i="38"/>
  <c r="I72" i="38"/>
  <c r="A72" i="38"/>
  <c r="J71" i="38"/>
  <c r="I71" i="38"/>
  <c r="A71" i="38"/>
  <c r="J70" i="38"/>
  <c r="I70" i="38"/>
  <c r="A70" i="38"/>
  <c r="J69" i="38"/>
  <c r="I69" i="38"/>
  <c r="A69" i="38"/>
  <c r="J68" i="38"/>
  <c r="I68" i="38"/>
  <c r="A68" i="38"/>
  <c r="J67" i="38"/>
  <c r="I67" i="38"/>
  <c r="A67" i="38"/>
  <c r="J66" i="38"/>
  <c r="I66" i="38"/>
  <c r="A66" i="38"/>
  <c r="J65" i="38"/>
  <c r="I65" i="38"/>
  <c r="A65" i="38"/>
  <c r="J64" i="38"/>
  <c r="I64" i="38"/>
  <c r="A64" i="38"/>
  <c r="J63" i="38"/>
  <c r="I63" i="38"/>
  <c r="A63" i="38"/>
  <c r="J62" i="38"/>
  <c r="I62" i="38"/>
  <c r="A62" i="38"/>
  <c r="J61" i="38"/>
  <c r="I61" i="38"/>
  <c r="A61" i="38"/>
  <c r="J60" i="38"/>
  <c r="I60" i="38"/>
  <c r="A60" i="38"/>
  <c r="J59" i="38"/>
  <c r="I59" i="38"/>
  <c r="A59" i="38"/>
  <c r="J58" i="38"/>
  <c r="I58" i="38"/>
  <c r="A58" i="38"/>
  <c r="J57" i="38"/>
  <c r="I57" i="38"/>
  <c r="A57" i="38"/>
  <c r="J56" i="38"/>
  <c r="I56" i="38"/>
  <c r="A56" i="38"/>
  <c r="J55" i="38"/>
  <c r="I55" i="38"/>
  <c r="A55" i="38"/>
  <c r="J54" i="38"/>
  <c r="I54" i="38"/>
  <c r="A54" i="38"/>
  <c r="J53" i="38"/>
  <c r="I53" i="38"/>
  <c r="A53" i="38"/>
  <c r="J52" i="38"/>
  <c r="I52" i="38"/>
  <c r="A52" i="38"/>
  <c r="J51" i="38"/>
  <c r="I51" i="38"/>
  <c r="A51" i="38"/>
  <c r="J50" i="38"/>
  <c r="I50" i="38"/>
  <c r="A50" i="38"/>
  <c r="J49" i="38"/>
  <c r="I49" i="38"/>
  <c r="A49" i="38"/>
  <c r="J48" i="38"/>
  <c r="I48" i="38"/>
  <c r="A48" i="38"/>
  <c r="J47" i="38"/>
  <c r="I47" i="38"/>
  <c r="A47" i="38"/>
  <c r="J46" i="38"/>
  <c r="I46" i="38"/>
  <c r="A46" i="38"/>
  <c r="J45" i="38"/>
  <c r="I45" i="38"/>
  <c r="A45" i="38"/>
  <c r="J44" i="38"/>
  <c r="I44" i="38"/>
  <c r="A44" i="38"/>
  <c r="J43" i="38"/>
  <c r="I43" i="38"/>
  <c r="A43" i="38"/>
  <c r="J42" i="38"/>
  <c r="I42" i="38"/>
  <c r="A42" i="38"/>
  <c r="J41" i="38"/>
  <c r="I41" i="38"/>
  <c r="A41" i="38"/>
  <c r="J40" i="38"/>
  <c r="I40" i="38"/>
  <c r="A40" i="38"/>
  <c r="J39" i="38"/>
  <c r="I39" i="38"/>
  <c r="A39" i="38"/>
  <c r="J38" i="38"/>
  <c r="I38" i="38"/>
  <c r="A38" i="38"/>
  <c r="J37" i="38"/>
  <c r="I37" i="38"/>
  <c r="A37" i="38"/>
  <c r="J36" i="38"/>
  <c r="I36" i="38"/>
  <c r="A36" i="38"/>
  <c r="J35" i="38"/>
  <c r="I35" i="38"/>
  <c r="A35" i="38"/>
  <c r="J34" i="38"/>
  <c r="I34" i="38"/>
  <c r="A34" i="38"/>
  <c r="J33" i="38"/>
  <c r="I33" i="38"/>
  <c r="A33" i="38"/>
  <c r="J32" i="38"/>
  <c r="I32" i="38"/>
  <c r="A32" i="38"/>
  <c r="J31" i="38"/>
  <c r="I31" i="38"/>
  <c r="A31" i="38"/>
  <c r="J30" i="38"/>
  <c r="I30" i="38"/>
  <c r="A30" i="38"/>
  <c r="J29" i="38"/>
  <c r="I29" i="38"/>
  <c r="A29" i="38"/>
  <c r="J28" i="38"/>
  <c r="I28" i="38"/>
  <c r="A28" i="38"/>
  <c r="J27" i="38"/>
  <c r="I27" i="38"/>
  <c r="A27" i="38"/>
  <c r="J26" i="38"/>
  <c r="I26" i="38"/>
  <c r="A26" i="38"/>
  <c r="J25" i="38"/>
  <c r="I25" i="38"/>
  <c r="A25" i="38"/>
  <c r="J24" i="38"/>
  <c r="I24" i="38"/>
  <c r="A24" i="38"/>
  <c r="J23" i="38"/>
  <c r="I23" i="38"/>
  <c r="A23" i="38"/>
  <c r="J22" i="38"/>
  <c r="I22" i="38"/>
  <c r="A22" i="38"/>
  <c r="J21" i="38"/>
  <c r="I21" i="38"/>
  <c r="A21" i="38"/>
  <c r="J20" i="38"/>
  <c r="I20" i="38"/>
  <c r="A20" i="38"/>
  <c r="J19" i="38"/>
  <c r="I19" i="38"/>
  <c r="A19" i="38"/>
  <c r="J18" i="38"/>
  <c r="I18" i="38"/>
  <c r="A18" i="38"/>
  <c r="J17" i="38"/>
  <c r="I17" i="38"/>
  <c r="A17" i="38"/>
  <c r="J16" i="38"/>
  <c r="I16" i="38"/>
  <c r="A16" i="38"/>
  <c r="J15" i="38"/>
  <c r="I15" i="38"/>
  <c r="A15" i="38"/>
  <c r="J14" i="38"/>
  <c r="I14" i="38"/>
  <c r="J13" i="38"/>
  <c r="I13" i="38"/>
  <c r="A13" i="38"/>
  <c r="J12" i="38"/>
  <c r="I12" i="38"/>
  <c r="A12" i="38"/>
  <c r="J11" i="38"/>
  <c r="I11" i="38"/>
  <c r="A11" i="38"/>
  <c r="J10" i="38"/>
  <c r="I10" i="38"/>
  <c r="A10" i="38"/>
  <c r="J9" i="38"/>
  <c r="I9" i="38"/>
  <c r="A9" i="38"/>
  <c r="J8" i="38"/>
  <c r="I8" i="38"/>
  <c r="A8" i="38"/>
  <c r="J7" i="38"/>
  <c r="I7" i="38"/>
  <c r="A7" i="38"/>
  <c r="J6" i="38"/>
  <c r="I6" i="38"/>
  <c r="A6" i="38"/>
  <c r="J5" i="38"/>
  <c r="I5" i="38"/>
  <c r="A5" i="38"/>
  <c r="O4" i="38"/>
  <c r="J4" i="38"/>
  <c r="I4" i="38"/>
  <c r="A4" i="38"/>
  <c r="J3" i="38"/>
  <c r="I3" i="38"/>
  <c r="A3" i="38"/>
  <c r="J2" i="38"/>
  <c r="I2" i="38"/>
  <c r="A2" i="38"/>
</calcChain>
</file>

<file path=xl/sharedStrings.xml><?xml version="1.0" encoding="utf-8"?>
<sst xmlns="http://schemas.openxmlformats.org/spreadsheetml/2006/main" count="269" uniqueCount="64">
  <si>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</si>
  <si>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</si>
  <si>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</si>
  <si>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</si>
  <si>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</si>
  <si>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</si>
  <si>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</si>
  <si>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</si>
  <si>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</si>
  <si>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</si>
  <si>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</si>
  <si>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</si>
  <si>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</si>
  <si>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</si>
  <si>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</si>
  <si>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</si>
  <si>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</si>
  <si>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</si>
  <si>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</si>
  <si>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</si>
  <si>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</si>
  <si>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</si>
  <si>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</si>
  <si>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</si>
  <si>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</si>
  <si>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</si>
  <si>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</si>
  <si>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</si>
  <si>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</si>
  <si>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</si>
  <si>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</si>
  <si>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</si>
  <si>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</si>
  <si>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</si>
  <si>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</si>
  <si>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</si>
  <si>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</si>
  <si>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</si>
  <si>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</si>
  <si>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</si>
  <si>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</si>
  <si>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</si>
  <si>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</si>
  <si>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</si>
  <si>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</si>
  <si>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</si>
  <si>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</si>
  <si>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</si>
  <si>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</si>
  <si>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</si>
  <si>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</si>
  <si>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</si>
  <si>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</si>
  <si>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</si>
  <si>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</si>
  <si>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</si>
  <si>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</si>
  <si>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</si>
  <si>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>Total risk count</t>
  </si>
  <si>
    <t xml:space="preserve">NO OF RED ALERTS BY HOUR </t>
  </si>
  <si>
    <t>Normal</t>
  </si>
  <si>
    <t>Eco</t>
  </si>
  <si>
    <t>Sportive</t>
  </si>
  <si>
    <t>HEAT MAP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</si>
</sst>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8"/>
      <color theme="1"/>
      <name val="Calibri"/>
      <family val="2"/>
      <scheme val="minor"/>
    </font>
    <font>
      <sz val="7"/>
      <color theme="1"/>
      <name val="Segoe UI"/>
      <family val="2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4E4E4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5">
    <xf numFmtId="0" fontId="0" fillId="0" borderId="0" xfId="0"/>
    <xf numFmtId="2" fontId="18" fillId="34" borderId="10" xfId="0" applyNumberFormat="1" applyFont="1" applyFill="1" applyBorder="1" applyAlignment="1">
      <alignment horizontal="center" vertical="center"/>
    </xf>
    <xf numFmtId="49" fontId="18" fillId="34" borderId="10" xfId="0" applyNumberFormat="1" applyFont="1" applyFill="1" applyBorder="1" applyAlignment="1">
      <alignment horizontal="center" vertical="center"/>
    </xf>
    <xf numFmtId="1" fontId="18" fillId="34" borderId="10" xfId="0" applyNumberFormat="1" applyFont="1" applyFill="1" applyBorder="1" applyAlignment="1">
      <alignment horizontal="center" vertical="center"/>
    </xf>
    <xf numFmtId="0" fontId="18" fillId="34" borderId="10" xfId="0" applyFont="1" applyFill="1" applyBorder="1" applyAlignment="1">
      <alignment horizontal="center" vertical="center"/>
    </xf>
    <xf numFmtId="2" fontId="19" fillId="33" borderId="10" xfId="0" applyNumberFormat="1" applyFont="1" applyFill="1" applyBorder="1" applyAlignment="1">
      <alignment horizontal="left" vertical="center"/>
    </xf>
    <xf numFmtId="49" fontId="19" fillId="0" borderId="10" xfId="0" applyNumberFormat="1" applyFont="1" applyBorder="1" applyAlignment="1">
      <alignment horizontal="left" vertical="center" wrapText="1"/>
    </xf>
    <xf numFmtId="1" fontId="19" fillId="33" borderId="10" xfId="0" applyNumberFormat="1" applyFont="1" applyFill="1" applyBorder="1" applyAlignment="1">
      <alignment horizontal="center" vertical="center"/>
    </xf>
    <xf numFmtId="164" fontId="19" fillId="33" borderId="10" xfId="0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49" fontId="19" fillId="0" borderId="10" xfId="0" applyNumberFormat="1" applyFont="1" applyBorder="1" applyAlignment="1">
      <alignment horizontal="left" vertical="center"/>
    </xf>
    <xf numFmtId="2" fontId="20" fillId="33" borderId="10" xfId="0" applyNumberFormat="1" applyFont="1" applyFill="1" applyBorder="1" applyAlignment="1">
      <alignment horizontal="left" vertical="center"/>
    </xf>
    <xf numFmtId="49" fontId="20" fillId="0" borderId="10" xfId="0" applyNumberFormat="1" applyFont="1" applyBorder="1" applyAlignment="1">
      <alignment horizontal="left" vertical="center" wrapText="1"/>
    </xf>
    <xf numFmtId="1" fontId="20" fillId="33" borderId="10" xfId="0" applyNumberFormat="1" applyFont="1" applyFill="1" applyBorder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horizontal="left" vertical="center"/>
    </xf>
    <xf numFmtId="0" fontId="21" fillId="0" borderId="0" xfId="0" applyFont="1"/>
    <xf numFmtId="0" fontId="19" fillId="34" borderId="10" xfId="0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/>
    </xf>
    <xf numFmtId="0" fontId="21" fillId="36" borderId="10" xfId="0" applyFont="1" applyFill="1" applyBorder="1" applyAlignment="1">
      <alignment horizontal="center" vertical="center"/>
    </xf>
    <xf numFmtId="0" fontId="21" fillId="37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35" borderId="10" xfId="0" applyFont="1" applyFill="1" applyBorder="1" applyAlignment="1">
      <alignment horizontal="center" vertical="center"/>
    </xf>
    <xf numFmtId="0" fontId="21" fillId="38" borderId="10" xfId="0" applyFont="1" applyFill="1" applyBorder="1" applyAlignment="1">
      <alignment horizontal="center" vertical="center"/>
    </xf>
    <xf numFmtId="2" fontId="20" fillId="34" borderId="13" xfId="0" applyNumberFormat="1" applyFont="1" applyFill="1" applyBorder="1" applyAlignment="1">
      <alignment horizontal="center" vertical="center"/>
    </xf>
    <xf numFmtId="2" fontId="20" fillId="34" borderId="14" xfId="0" applyNumberFormat="1" applyFont="1" applyFill="1" applyBorder="1" applyAlignment="1">
      <alignment horizontal="center" vertical="center"/>
    </xf>
    <xf numFmtId="49" fontId="20" fillId="34" borderId="14" xfId="0" applyNumberFormat="1" applyFont="1" applyFill="1" applyBorder="1" applyAlignment="1">
      <alignment horizontal="center" vertical="center"/>
    </xf>
    <xf numFmtId="1" fontId="20" fillId="34" borderId="14" xfId="0" applyNumberFormat="1" applyFont="1" applyFill="1" applyBorder="1" applyAlignment="1">
      <alignment horizontal="center" vertical="center"/>
    </xf>
    <xf numFmtId="165" fontId="20" fillId="34" borderId="14" xfId="0" applyNumberFormat="1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1" fontId="20" fillId="34" borderId="15" xfId="0" applyNumberFormat="1" applyFont="1" applyFill="1" applyBorder="1" applyAlignment="1">
      <alignment horizontal="center" vertical="center"/>
    </xf>
    <xf numFmtId="1" fontId="20" fillId="33" borderId="11" xfId="0" applyNumberFormat="1" applyFont="1" applyFill="1" applyBorder="1" applyAlignment="1">
      <alignment horizontal="center" vertical="center"/>
    </xf>
    <xf numFmtId="165" fontId="20" fillId="33" borderId="10" xfId="0" applyNumberFormat="1" applyFont="1" applyFill="1" applyBorder="1" applyAlignment="1">
      <alignment horizontal="center" vertical="center"/>
    </xf>
    <xf numFmtId="1" fontId="20" fillId="39" borderId="10" xfId="0" applyNumberFormat="1" applyFont="1" applyFill="1" applyBorder="1" applyAlignment="1">
      <alignment horizontal="center" vertical="center"/>
    </xf>
    <xf numFmtId="1" fontId="20" fillId="33" borderId="12" xfId="0" applyNumberFormat="1" applyFont="1" applyFill="1" applyBorder="1" applyAlignment="1">
      <alignment horizontal="center" vertical="center"/>
    </xf>
    <xf numFmtId="1" fontId="20" fillId="33" borderId="16" xfId="0" applyNumberFormat="1" applyFont="1" applyFill="1" applyBorder="1" applyAlignment="1">
      <alignment horizontal="center" vertical="center"/>
    </xf>
    <xf numFmtId="2" fontId="20" fillId="33" borderId="17" xfId="0" applyNumberFormat="1" applyFont="1" applyFill="1" applyBorder="1" applyAlignment="1">
      <alignment horizontal="left" vertical="center"/>
    </xf>
    <xf numFmtId="49" fontId="20" fillId="0" borderId="17" xfId="0" applyNumberFormat="1" applyFont="1" applyBorder="1" applyAlignment="1">
      <alignment horizontal="left" vertical="center" wrapText="1"/>
    </xf>
    <xf numFmtId="1" fontId="20" fillId="33" borderId="17" xfId="0" applyNumberFormat="1" applyFont="1" applyFill="1" applyBorder="1" applyAlignment="1">
      <alignment horizontal="center" vertical="center"/>
    </xf>
    <xf numFmtId="165" fontId="20" fillId="33" borderId="17" xfId="0" applyNumberFormat="1" applyFont="1" applyFill="1" applyBorder="1" applyAlignment="1">
      <alignment horizontal="center" vertical="center"/>
    </xf>
    <xf numFmtId="0" fontId="20" fillId="33" borderId="17" xfId="0" applyFont="1" applyFill="1" applyBorder="1" applyAlignment="1">
      <alignment horizontal="center" vertical="center"/>
    </xf>
    <xf numFmtId="1" fontId="20" fillId="39" borderId="17" xfId="0" applyNumberFormat="1" applyFont="1" applyFill="1" applyBorder="1" applyAlignment="1">
      <alignment horizontal="center" vertical="center"/>
    </xf>
    <xf numFmtId="1" fontId="20" fillId="33" borderId="18" xfId="0" applyNumberFormat="1" applyFont="1" applyFill="1" applyBorder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36" borderId="17" xfId="0" applyFont="1" applyFill="1" applyBorder="1" applyAlignment="1">
      <alignment horizontal="left" vertical="center"/>
    </xf>
    <xf numFmtId="0" fontId="23" fillId="0" borderId="17" xfId="0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0" fontId="23" fillId="39" borderId="17" xfId="0" applyFont="1" applyFill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3" fillId="0" borderId="0" xfId="0" applyFont="1"/>
    <xf numFmtId="165" fontId="23" fillId="0" borderId="0" xfId="0" applyNumberFormat="1" applyFont="1"/>
    <xf numFmtId="165" fontId="23" fillId="0" borderId="0" xfId="0" applyNumberFormat="1" applyFont="1" applyAlignment="1">
      <alignment horizontal="center"/>
    </xf>
    <xf numFmtId="1" fontId="22" fillId="34" borderId="20" xfId="0" applyNumberFormat="1" applyFont="1" applyFill="1" applyBorder="1" applyAlignment="1">
      <alignment horizontal="center" vertical="center"/>
    </xf>
    <xf numFmtId="0" fontId="23" fillId="0" borderId="17" xfId="0" applyFont="1" applyBorder="1"/>
    <xf numFmtId="0" fontId="20" fillId="0" borderId="21" xfId="0" applyFont="1" applyBorder="1" applyAlignment="1">
      <alignment horizontal="center" vertical="center"/>
    </xf>
    <xf numFmtId="0" fontId="24" fillId="0" borderId="0" xfId="0" applyFont="1"/>
    <xf numFmtId="49" fontId="24" fillId="41" borderId="10" xfId="0" applyNumberFormat="1" applyFont="1" applyFill="1" applyBorder="1" applyAlignment="1">
      <alignment horizontal="center" vertical="center" wrapText="1"/>
    </xf>
    <xf numFmtId="49" fontId="24" fillId="41" borderId="10" xfId="0" applyNumberFormat="1" applyFont="1" applyFill="1" applyBorder="1" applyAlignment="1">
      <alignment horizontal="center" vertical="center"/>
    </xf>
    <xf numFmtId="165" fontId="24" fillId="41" borderId="10" xfId="0" applyNumberFormat="1" applyFont="1" applyFill="1" applyBorder="1" applyAlignment="1">
      <alignment horizontal="center" vertical="center"/>
    </xf>
    <xf numFmtId="166" fontId="24" fillId="0" borderId="0" xfId="0" applyNumberFormat="1" applyFont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10" xfId="0" applyBorder="1" applyAlignment="1">
      <alignment horizontal="center" vertical="center"/>
    </xf>
    <xf numFmtId="0" fontId="0" fillId="39" borderId="10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39" borderId="10" xfId="0" applyNumberFormat="1" applyFill="1" applyBorder="1" applyAlignment="1">
      <alignment horizontal="center" vertical="center"/>
    </xf>
    <xf numFmtId="0" fontId="19" fillId="0" borderId="10" xfId="0" applyFont="1" applyBorder="1"/>
    <xf numFmtId="0" fontId="0" fillId="0" borderId="10" xfId="0" applyBorder="1"/>
    <xf numFmtId="0" fontId="19" fillId="0" borderId="11" xfId="0" applyFont="1" applyBorder="1"/>
    <xf numFmtId="1" fontId="20" fillId="33" borderId="26" xfId="0" applyNumberFormat="1" applyFont="1" applyFill="1" applyBorder="1" applyAlignment="1">
      <alignment horizontal="center" vertical="center"/>
    </xf>
    <xf numFmtId="49" fontId="20" fillId="0" borderId="10" xfId="0" applyNumberFormat="1" applyFont="1" applyBorder="1" applyAlignment="1">
      <alignment vertical="center"/>
    </xf>
    <xf numFmtId="49" fontId="20" fillId="0" borderId="10" xfId="0" applyNumberFormat="1" applyFont="1" applyBorder="1" applyAlignment="1">
      <alignment vertical="center" wrapText="1"/>
    </xf>
    <xf numFmtId="49" fontId="20" fillId="0" borderId="12" xfId="0" applyNumberFormat="1" applyFont="1" applyBorder="1" applyAlignment="1">
      <alignment vertical="center" wrapText="1"/>
    </xf>
    <xf numFmtId="0" fontId="25" fillId="0" borderId="0" xfId="0" applyFont="1"/>
    <xf numFmtId="0" fontId="26" fillId="41" borderId="10" xfId="0" applyFont="1" applyFill="1" applyBorder="1" applyAlignment="1">
      <alignment horizontal="center" vertical="center"/>
    </xf>
    <xf numFmtId="0" fontId="26" fillId="42" borderId="12" xfId="0" applyFont="1" applyFill="1" applyBorder="1" applyAlignment="1">
      <alignment horizontal="center" vertical="center"/>
    </xf>
    <xf numFmtId="0" fontId="26" fillId="42" borderId="11" xfId="0" applyFont="1" applyFill="1" applyBorder="1" applyAlignment="1">
      <alignment horizontal="center" vertic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0" fillId="40" borderId="10" xfId="0" applyFill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1" xfId="0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E4E4E4"/>
      <color rgb="FFFF9797"/>
      <color rgb="FF2FC7CB"/>
      <color rgb="FFDF4121"/>
      <color rgb="FFFF5B5B"/>
      <color rgb="FFC9C9C9"/>
      <color rgb="FFFF5D5D"/>
      <color rgb="FFFFCD3F"/>
      <color rgb="FF1DCD8A"/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1-4264-BF46-465E2932D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7A-4ACA-8283-E9ED9E6C2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IN" b="1" i="1" u="sng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79254079254083E-2"/>
          <c:y val="0.14990343188233546"/>
          <c:w val="0.77980992236110358"/>
          <c:h val="0.80720277889792091"/>
        </c:manualLayout>
      </c:layout>
      <c:bubbleChart>
        <c:varyColors val="0"/>
        <c:ser>
          <c:idx val="0"/>
          <c:order val="0"/>
          <c:tx>
            <c:strRef>
              <c:f>'All table'!$V$19</c:f>
              <c:strCache>
                <c:ptCount val="1"/>
                <c:pt idx="0">
                  <c:v>Sudden Braking</c:v>
                </c:pt>
              </c:strCache>
            </c:strRef>
          </c:tx>
          <c:spPr>
            <a:solidFill>
              <a:srgbClr val="2FC7CB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6.3608236709874894E-2"/>
                  <c:y val="-7.72947095118747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76-40BB-A9B5-1D5D0102A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table'!$V$21:$V$28</c:f>
              <c:numCache>
                <c:formatCode>General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C76-40BB-A9B5-1D5D0102A0BE}"/>
            </c:ext>
          </c:extLst>
        </c:ser>
        <c:ser>
          <c:idx val="1"/>
          <c:order val="1"/>
          <c:tx>
            <c:strRef>
              <c:f>'All table'!$W$19</c:f>
              <c:strCache>
                <c:ptCount val="1"/>
                <c:pt idx="0">
                  <c:v>Force Acceleration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table'!$W$21:$W$28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C76-40BB-A9B5-1D5D0102A0BE}"/>
            </c:ext>
          </c:extLst>
        </c:ser>
        <c:ser>
          <c:idx val="2"/>
          <c:order val="2"/>
          <c:tx>
            <c:strRef>
              <c:f>'All table'!$X$19</c:f>
              <c:strCache>
                <c:ptCount val="1"/>
                <c:pt idx="0">
                  <c:v>Over Speed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table'!$X$21:$X$28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</c:v>
                </c:pt>
                <c:pt idx="4">
                  <c:v>#N/A</c:v>
                </c:pt>
                <c:pt idx="5">
                  <c:v>#N/A</c:v>
                </c:pt>
                <c:pt idx="6">
                  <c:v>97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C76-40BB-A9B5-1D5D0102A0BE}"/>
            </c:ext>
          </c:extLst>
        </c:ser>
        <c:ser>
          <c:idx val="3"/>
          <c:order val="3"/>
          <c:tx>
            <c:strRef>
              <c:f>'All table'!$Y$19</c:f>
              <c:strCache>
                <c:ptCount val="1"/>
                <c:pt idx="0">
                  <c:v>Curve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6350"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'All table'!$U$21:$U$28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'All table'!$Y$21:$Y$28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93</c:v>
                </c:pt>
                <c:pt idx="5">
                  <c:v>100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bubbleSize>
            <c:numRef>
              <c:f>'All table'!$T$21:$T$28</c:f>
              <c:numCache>
                <c:formatCode>General</c:formatCode>
                <c:ptCount val="8"/>
                <c:pt idx="0">
                  <c:v>0.1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C76-40BB-A9B5-1D5D0102A0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303919"/>
        <c:axId val="1304335"/>
      </c:bubbleChart>
      <c:valAx>
        <c:axId val="1303919"/>
        <c:scaling>
          <c:orientation val="minMax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304335"/>
        <c:crosses val="autoZero"/>
        <c:crossBetween val="midCat"/>
      </c:valAx>
      <c:valAx>
        <c:axId val="1304335"/>
        <c:scaling>
          <c:orientation val="minMax"/>
          <c:max val="102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2.7922549551995652E-2"/>
              <c:y val="0.44502324001952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48364691961397"/>
          <c:y val="0.16366424395427562"/>
          <c:w val="0.14974869520620268"/>
          <c:h val="0.258048387705393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 i="1" u="sng"/>
              <a:t>RADAR</a:t>
            </a:r>
            <a:r>
              <a:rPr lang="en-IN" b="1" i="1" u="sng" baseline="0"/>
              <a:t> CHART</a:t>
            </a:r>
            <a:endParaRPr lang="en-IN" b="1" i="1" u="sng"/>
          </a:p>
        </c:rich>
      </c:tx>
      <c:layout>
        <c:manualLayout>
          <c:xMode val="edge"/>
          <c:yMode val="edge"/>
          <c:x val="0.40794423535557239"/>
          <c:y val="1.6064253668477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4560446665210892"/>
          <c:y val="0.23723906985771134"/>
          <c:w val="0.3065863422863333"/>
          <c:h val="0.70388577423330057"/>
        </c:manualLayout>
      </c:layout>
      <c:radarChart>
        <c:radarStyle val="marker"/>
        <c:varyColors val="0"/>
        <c:ser>
          <c:idx val="0"/>
          <c:order val="0"/>
          <c:spPr>
            <a:ln w="63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'All table'!$AH$1:$AK$1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'All table'!$AH$2:$AK$2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77-4122-A2D5-6A61F1E59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012847"/>
        <c:axId val="2013026991"/>
      </c:radarChart>
      <c:catAx>
        <c:axId val="201301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26991"/>
        <c:crosses val="autoZero"/>
        <c:auto val="1"/>
        <c:lblAlgn val="ctr"/>
        <c:lblOffset val="100"/>
        <c:noMultiLvlLbl val="0"/>
      </c:catAx>
      <c:valAx>
        <c:axId val="201302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0128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194766891251996"/>
          <c:y val="0.32850322763708584"/>
          <c:w val="0.68916325459317584"/>
          <c:h val="0.546202028800453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table'!$X$13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table'!$X$14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6-44FC-82B8-8B87CBB1AD61}"/>
            </c:ext>
          </c:extLst>
        </c:ser>
        <c:ser>
          <c:idx val="1"/>
          <c:order val="1"/>
          <c:tx>
            <c:strRef>
              <c:f>'All table'!$Y$13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table'!$Y$14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6-44FC-82B8-8B87CBB1A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8911663"/>
        <c:axId val="648912495"/>
      </c:barChart>
      <c:catAx>
        <c:axId val="648911663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48912495"/>
        <c:crosses val="autoZero"/>
        <c:auto val="1"/>
        <c:lblAlgn val="ctr"/>
        <c:lblOffset val="100"/>
        <c:noMultiLvlLbl val="0"/>
      </c:catAx>
      <c:valAx>
        <c:axId val="648912495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Speed (Km/hr)</a:t>
                </a:r>
              </a:p>
            </c:rich>
          </c:tx>
          <c:layout>
            <c:manualLayout>
              <c:xMode val="edge"/>
              <c:yMode val="edge"/>
              <c:x val="2.5347526003693978E-2"/>
              <c:y val="0.458878839469390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911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650043744528E-2"/>
          <c:y val="0.91499267410850749"/>
          <c:w val="0.9177777777777778"/>
          <c:h val="4.75240594925634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32325006136823"/>
          <c:y val="0.39129129679751684"/>
          <c:w val="0.68554428897826625"/>
          <c:h val="0.554571570863459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'All table'!$U$13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'All table'!$T$14</c:f>
              <c:strCache>
                <c:ptCount val="1"/>
                <c:pt idx="0">
                  <c:v>Curve</c:v>
                </c:pt>
              </c:strCache>
            </c:strRef>
          </c:cat>
          <c:val>
            <c:numRef>
              <c:f>'All table'!$U$14</c:f>
              <c:numCache>
                <c:formatCode>General</c:formatCode>
                <c:ptCount val="1"/>
                <c:pt idx="0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2-42AC-8174-294C7984306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1029967"/>
        <c:axId val="191043279"/>
      </c:barChart>
      <c:catAx>
        <c:axId val="1910299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1043279"/>
        <c:crosses val="autoZero"/>
        <c:auto val="1"/>
        <c:lblAlgn val="ctr"/>
        <c:lblOffset val="100"/>
        <c:noMultiLvlLbl val="0"/>
      </c:catAx>
      <c:valAx>
        <c:axId val="191043279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29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5555555555555E-2"/>
          <c:y val="0.41708333333333331"/>
          <c:w val="0.93888888888888888"/>
          <c:h val="0.53199074074074071"/>
        </c:manualLayout>
      </c:layout>
      <c:areaChart>
        <c:grouping val="standard"/>
        <c:varyColors val="0"/>
        <c:ser>
          <c:idx val="0"/>
          <c:order val="0"/>
          <c:tx>
            <c:strRef>
              <c:f>'All table'!$C$1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9797"/>
            </a:solidFill>
            <a:ln w="6350">
              <a:solidFill>
                <a:schemeClr val="tx1">
                  <a:lumMod val="50000"/>
                  <a:lumOff val="50000"/>
                </a:schemeClr>
              </a:solidFill>
            </a:ln>
            <a:effectLst/>
          </c:spPr>
          <c:cat>
            <c:strRef>
              <c:f>'All table'!$B$2:$B$74</c:f>
              <c:strCache>
                <c:ptCount val="73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</c:strCache>
            </c:strRef>
          </c:cat>
          <c:val>
            <c:numRef>
              <c:f>'All table'!$C$2:$C$74</c:f>
              <c:numCache>
                <c:formatCode>0</c:formatCode>
                <c:ptCount val="73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D-4C19-86A2-958FC6DEB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6649551"/>
        <c:axId val="886647471"/>
      </c:areaChart>
      <c:catAx>
        <c:axId val="8866495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86647471"/>
        <c:crosses val="autoZero"/>
        <c:auto val="1"/>
        <c:lblAlgn val="ctr"/>
        <c:lblOffset val="100"/>
        <c:noMultiLvlLbl val="0"/>
      </c:catAx>
      <c:valAx>
        <c:axId val="886647471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886649551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60000"/>
        <a:lumOff val="40000"/>
      </a:schemeClr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29</xdr:row>
      <xdr:rowOff>9526</xdr:rowOff>
    </xdr:from>
    <xdr:to>
      <xdr:col>14</xdr:col>
      <xdr:colOff>1143000</xdr:colOff>
      <xdr:row>63</xdr:row>
      <xdr:rowOff>104776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7705725" y="5534026"/>
          <a:ext cx="5657850" cy="6572250"/>
        </a:xfrm>
        <a:prstGeom prst="rect">
          <a:avLst/>
        </a:prstGeom>
        <a:solidFill>
          <a:schemeClr val="lt1"/>
        </a:solidFill>
        <a:ln w="31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</xdr:txBody>
    </xdr:sp>
    <xdr:clientData/>
  </xdr:twoCellAnchor>
  <xdr:twoCellAnchor editAs="absolute">
    <xdr:from>
      <xdr:col>10</xdr:col>
      <xdr:colOff>200026</xdr:colOff>
      <xdr:row>55</xdr:row>
      <xdr:rowOff>152400</xdr:rowOff>
    </xdr:from>
    <xdr:to>
      <xdr:col>14</xdr:col>
      <xdr:colOff>1057275</xdr:colOff>
      <xdr:row>62</xdr:row>
      <xdr:rowOff>180975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800976" y="10629900"/>
          <a:ext cx="5476874" cy="13620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(radar chart)</a:t>
          </a:r>
          <a:endParaRPr lang="en-IN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10</xdr:col>
      <xdr:colOff>190501</xdr:colOff>
      <xdr:row>37</xdr:row>
      <xdr:rowOff>9525</xdr:rowOff>
    </xdr:from>
    <xdr:to>
      <xdr:col>14</xdr:col>
      <xdr:colOff>1066800</xdr:colOff>
      <xdr:row>48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791451" y="7058025"/>
          <a:ext cx="5495924" cy="208597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Driver has applied three sudden brakes in </a:t>
          </a:r>
          <a:r>
            <a:rPr lang="en-IN" sz="1000" b="0" i="0" baseline="0">
              <a:solidFill>
                <a:srgbClr val="FF0000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X,Y,Z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X,Y,Z).</a:t>
          </a:r>
          <a:endParaRPr lang="en-IN" sz="1000">
            <a:solidFill>
              <a:srgbClr val="FF0000"/>
            </a:solidFill>
            <a:effectLst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Applying sudden brakes are dangerous to both the rider and other drivers.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force accelerated the vehicle for straight 10 seconds from 21km/hr to 90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km/hr</a:t>
          </a:r>
        </a:p>
        <a:p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x) and (accident rate in India due to force acc)</a:t>
          </a:r>
          <a:endParaRPr lang="en-IN" sz="1000">
            <a:solidFill>
              <a:srgbClr val="FF0000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 over speeded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the vehicle two times with a speed of 42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area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with a speed of 100 km/hr in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area</a:t>
          </a:r>
          <a:r>
            <a:rPr lang="en-IN" sz="1000">
              <a:solidFill>
                <a:schemeClr val="tx1">
                  <a:lumMod val="75000"/>
                  <a:lumOff val="25000"/>
                </a:schemeClr>
              </a:solidFill>
            </a:rPr>
            <a:t>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that X,Y),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whereas the speed limit in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is 30 km/hr and in area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is 50 km/hr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tell about the accident rate in India due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to over speed).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RIDE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42 has two red alerts in curve. Where the rider has travelled at 37 km/hr in one curve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 and at 38 km/hr in another curve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(Tell if possible by finding the curve's bank angle and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give the optimum speed with which the curve needs to be travelled 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</a:t>
          </a:r>
          <a:endParaRPr lang="en-IN" sz="1000">
            <a:solidFill>
              <a:srgbClr val="FF0000"/>
            </a:solidFill>
            <a:effectLst/>
          </a:endParaRPr>
        </a:p>
      </xdr:txBody>
    </xdr:sp>
    <xdr:clientData/>
  </xdr:twoCellAnchor>
  <xdr:twoCellAnchor editAs="absolute">
    <xdr:from>
      <xdr:col>10</xdr:col>
      <xdr:colOff>190500</xdr:colOff>
      <xdr:row>32</xdr:row>
      <xdr:rowOff>57150</xdr:rowOff>
    </xdr:from>
    <xdr:to>
      <xdr:col>14</xdr:col>
      <xdr:colOff>1066801</xdr:colOff>
      <xdr:row>36</xdr:row>
      <xdr:rowOff>104775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7791450" y="6153150"/>
          <a:ext cx="5495926" cy="8096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8 red risks among the total of 77 risk count.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RIDE 42 has more red risks in the alert type of Sudden Braking.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◉ Among 8 red risks</a:t>
          </a:r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, your ride has two severe red alerts in one of the curves   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r>
            <a:rPr lang="en-IN" sz="10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   and in one of the speed limit zones.</a:t>
          </a:r>
          <a:endParaRPr lang="en-IN" sz="1000">
            <a:solidFill>
              <a:schemeClr val="tx1">
                <a:lumMod val="75000"/>
                <a:lumOff val="25000"/>
              </a:schemeClr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  <a:p>
          <a:pPr algn="l"/>
          <a:endParaRPr lang="en-IN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IN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10</xdr:col>
      <xdr:colOff>190500</xdr:colOff>
      <xdr:row>29</xdr:row>
      <xdr:rowOff>104775</xdr:rowOff>
    </xdr:from>
    <xdr:to>
      <xdr:col>14</xdr:col>
      <xdr:colOff>1066801</xdr:colOff>
      <xdr:row>31</xdr:row>
      <xdr:rowOff>152400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791450" y="5629275"/>
          <a:ext cx="5495926" cy="4286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635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2000">
              <a:solidFill>
                <a:schemeClr val="tx1">
                  <a:lumMod val="75000"/>
                  <a:lumOff val="25000"/>
                </a:schemeClr>
              </a:solidFill>
            </a:rPr>
            <a:t>RIDE 42 SUMMARY</a:t>
          </a:r>
        </a:p>
      </xdr:txBody>
    </xdr:sp>
    <xdr:clientData/>
  </xdr:twoCellAnchor>
  <xdr:twoCellAnchor editAs="absolute">
    <xdr:from>
      <xdr:col>10</xdr:col>
      <xdr:colOff>190500</xdr:colOff>
      <xdr:row>48</xdr:row>
      <xdr:rowOff>104775</xdr:rowOff>
    </xdr:from>
    <xdr:to>
      <xdr:col>14</xdr:col>
      <xdr:colOff>1057274</xdr:colOff>
      <xdr:row>55</xdr:row>
      <xdr:rowOff>38100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791450" y="9248775"/>
          <a:ext cx="5486399" cy="1266825"/>
        </a:xfrm>
        <a:prstGeom prst="rect">
          <a:avLst/>
        </a:prstGeom>
        <a:solidFill>
          <a:schemeClr val="lt1"/>
        </a:solidFill>
        <a:ln w="63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(tell about risk style,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driving state, driving style of every red risk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),</a:t>
          </a:r>
        </a:p>
        <a:p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(try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to explain a pattern on how those three parameters vary within the red risks</a:t>
          </a:r>
          <a:r>
            <a:rPr lang="en-IN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◉ 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force accelerated the vehicle at 11:35:00 AM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 time in that area)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◉ </a:t>
          </a:r>
          <a:r>
            <a:rPr lang="en-IN" sz="1100" b="0" i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Driver</a:t>
          </a:r>
          <a:r>
            <a:rPr lang="en-IN" sz="1100" b="0" i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over speeded the vehicle two times at 12:20:00 PM and at 1:27:00 PM</a:t>
          </a:r>
        </a:p>
        <a:p>
          <a:r>
            <a:rPr lang="en-IN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n-I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(now explain how the traffic is at that time in that area)</a:t>
          </a:r>
          <a:endParaRPr lang="en-IN">
            <a:solidFill>
              <a:srgbClr val="FF0000"/>
            </a:solidFill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IN">
            <a:solidFill>
              <a:srgbClr val="FF0000"/>
            </a:solidFill>
            <a:effectLst/>
          </a:endParaRPr>
        </a:p>
        <a:p>
          <a:endParaRPr lang="en-IN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10</xdr:col>
      <xdr:colOff>104775</xdr:colOff>
      <xdr:row>21</xdr:row>
      <xdr:rowOff>19050</xdr:rowOff>
    </xdr:from>
    <xdr:to>
      <xdr:col>11</xdr:col>
      <xdr:colOff>1143001</xdr:colOff>
      <xdr:row>28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1228726</xdr:colOff>
      <xdr:row>21</xdr:row>
      <xdr:rowOff>19050</xdr:rowOff>
    </xdr:from>
    <xdr:to>
      <xdr:col>13</xdr:col>
      <xdr:colOff>504827</xdr:colOff>
      <xdr:row>28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21</xdr:row>
      <xdr:rowOff>19051</xdr:rowOff>
    </xdr:from>
    <xdr:to>
      <xdr:col>10</xdr:col>
      <xdr:colOff>9525</xdr:colOff>
      <xdr:row>38</xdr:row>
      <xdr:rowOff>66675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581025</xdr:colOff>
      <xdr:row>53</xdr:row>
      <xdr:rowOff>28576</xdr:rowOff>
    </xdr:from>
    <xdr:to>
      <xdr:col>9</xdr:col>
      <xdr:colOff>95250</xdr:colOff>
      <xdr:row>66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21</xdr:row>
          <xdr:rowOff>85725</xdr:rowOff>
        </xdr:from>
        <xdr:to>
          <xdr:col>9</xdr:col>
          <xdr:colOff>762000</xdr:colOff>
          <xdr:row>38</xdr:row>
          <xdr:rowOff>28575</xdr:rowOff>
        </xdr:to>
        <xdr:sp macro="" textlink="">
          <xdr:nvSpPr>
            <xdr:cNvPr id="19473" name="HideAll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1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34</xdr:row>
          <xdr:rowOff>38100</xdr:rowOff>
        </xdr:from>
        <xdr:to>
          <xdr:col>2</xdr:col>
          <xdr:colOff>428625</xdr:colOff>
          <xdr:row>35</xdr:row>
          <xdr:rowOff>9525</xdr:rowOff>
        </xdr:to>
        <xdr:sp macro="" textlink="">
          <xdr:nvSpPr>
            <xdr:cNvPr id="19465" name="L1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29</xdr:row>
          <xdr:rowOff>142875</xdr:rowOff>
        </xdr:from>
        <xdr:to>
          <xdr:col>7</xdr:col>
          <xdr:colOff>419100</xdr:colOff>
          <xdr:row>33</xdr:row>
          <xdr:rowOff>85725</xdr:rowOff>
        </xdr:to>
        <xdr:sp macro="" textlink="">
          <xdr:nvSpPr>
            <xdr:cNvPr id="19466" name="L8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1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171450</xdr:colOff>
          <xdr:row>27</xdr:row>
          <xdr:rowOff>142875</xdr:rowOff>
        </xdr:from>
        <xdr:to>
          <xdr:col>6</xdr:col>
          <xdr:colOff>514350</xdr:colOff>
          <xdr:row>29</xdr:row>
          <xdr:rowOff>104775</xdr:rowOff>
        </xdr:to>
        <xdr:sp macro="" textlink="">
          <xdr:nvSpPr>
            <xdr:cNvPr id="19467" name="L7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1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24</xdr:row>
          <xdr:rowOff>28575</xdr:rowOff>
        </xdr:from>
        <xdr:to>
          <xdr:col>6</xdr:col>
          <xdr:colOff>114300</xdr:colOff>
          <xdr:row>27</xdr:row>
          <xdr:rowOff>47625</xdr:rowOff>
        </xdr:to>
        <xdr:sp macro="" textlink="">
          <xdr:nvSpPr>
            <xdr:cNvPr id="19468" name="L6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1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695325</xdr:colOff>
          <xdr:row>31</xdr:row>
          <xdr:rowOff>142875</xdr:rowOff>
        </xdr:from>
        <xdr:to>
          <xdr:col>5</xdr:col>
          <xdr:colOff>257175</xdr:colOff>
          <xdr:row>33</xdr:row>
          <xdr:rowOff>85725</xdr:rowOff>
        </xdr:to>
        <xdr:sp macro="" textlink="">
          <xdr:nvSpPr>
            <xdr:cNvPr id="19469" name="L5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1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23</xdr:row>
          <xdr:rowOff>190500</xdr:rowOff>
        </xdr:from>
        <xdr:to>
          <xdr:col>4</xdr:col>
          <xdr:colOff>657225</xdr:colOff>
          <xdr:row>27</xdr:row>
          <xdr:rowOff>66675</xdr:rowOff>
        </xdr:to>
        <xdr:sp macro="" textlink="">
          <xdr:nvSpPr>
            <xdr:cNvPr id="19470" name="L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1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25</xdr:row>
          <xdr:rowOff>28575</xdr:rowOff>
        </xdr:from>
        <xdr:to>
          <xdr:col>4</xdr:col>
          <xdr:colOff>76200</xdr:colOff>
          <xdr:row>28</xdr:row>
          <xdr:rowOff>19050</xdr:rowOff>
        </xdr:to>
        <xdr:sp macro="" textlink="">
          <xdr:nvSpPr>
            <xdr:cNvPr id="19471" name="L3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1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619125</xdr:colOff>
          <xdr:row>30</xdr:row>
          <xdr:rowOff>85725</xdr:rowOff>
        </xdr:from>
        <xdr:to>
          <xdr:col>3</xdr:col>
          <xdr:colOff>295275</xdr:colOff>
          <xdr:row>32</xdr:row>
          <xdr:rowOff>161925</xdr:rowOff>
        </xdr:to>
        <xdr:sp macro="" textlink="">
          <xdr:nvSpPr>
            <xdr:cNvPr id="19472" name="L2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1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9</xdr:col>
      <xdr:colOff>476250</xdr:colOff>
      <xdr:row>41</xdr:row>
      <xdr:rowOff>152400</xdr:rowOff>
    </xdr:to>
    <xdr:graphicFrame macro="">
      <xdr:nvGraphicFramePr>
        <xdr:cNvPr id="6" name="Happy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142875</xdr:rowOff>
        </xdr:from>
        <xdr:to>
          <xdr:col>10</xdr:col>
          <xdr:colOff>400050</xdr:colOff>
          <xdr:row>47</xdr:row>
          <xdr:rowOff>180975</xdr:rowOff>
        </xdr:to>
        <xdr:sp macro="" textlink="">
          <xdr:nvSpPr>
            <xdr:cNvPr id="19482" name="HideAll_1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1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781050</xdr:colOff>
          <xdr:row>42</xdr:row>
          <xdr:rowOff>180975</xdr:rowOff>
        </xdr:to>
        <xdr:sp macro="" textlink="">
          <xdr:nvSpPr>
            <xdr:cNvPr id="19474" name="LL1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1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42</xdr:row>
          <xdr:rowOff>9525</xdr:rowOff>
        </xdr:from>
        <xdr:to>
          <xdr:col>3</xdr:col>
          <xdr:colOff>781050</xdr:colOff>
          <xdr:row>43</xdr:row>
          <xdr:rowOff>0</xdr:rowOff>
        </xdr:to>
        <xdr:sp macro="" textlink="">
          <xdr:nvSpPr>
            <xdr:cNvPr id="19475" name="LL2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1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9525</xdr:rowOff>
        </xdr:from>
        <xdr:to>
          <xdr:col>4</xdr:col>
          <xdr:colOff>781050</xdr:colOff>
          <xdr:row>43</xdr:row>
          <xdr:rowOff>0</xdr:rowOff>
        </xdr:to>
        <xdr:sp macro="" textlink="">
          <xdr:nvSpPr>
            <xdr:cNvPr id="19476" name="LL3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1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781050</xdr:colOff>
          <xdr:row>43</xdr:row>
          <xdr:rowOff>180975</xdr:rowOff>
        </xdr:to>
        <xdr:sp macro="" textlink="">
          <xdr:nvSpPr>
            <xdr:cNvPr id="19477" name="LL4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1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781050</xdr:colOff>
          <xdr:row>43</xdr:row>
          <xdr:rowOff>180975</xdr:rowOff>
        </xdr:to>
        <xdr:sp macro="" textlink="">
          <xdr:nvSpPr>
            <xdr:cNvPr id="19478" name="LL5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1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43</xdr:row>
          <xdr:rowOff>9525</xdr:rowOff>
        </xdr:from>
        <xdr:to>
          <xdr:col>7</xdr:col>
          <xdr:colOff>781050</xdr:colOff>
          <xdr:row>44</xdr:row>
          <xdr:rowOff>0</xdr:rowOff>
        </xdr:to>
        <xdr:sp macro="" textlink="">
          <xdr:nvSpPr>
            <xdr:cNvPr id="19479" name="LL6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1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44</xdr:row>
          <xdr:rowOff>9525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19480" name="LL7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1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44</xdr:row>
          <xdr:rowOff>9525</xdr:rowOff>
        </xdr:from>
        <xdr:to>
          <xdr:col>10</xdr:col>
          <xdr:colOff>0</xdr:colOff>
          <xdr:row>45</xdr:row>
          <xdr:rowOff>0</xdr:rowOff>
        </xdr:to>
        <xdr:sp macro="" textlink="">
          <xdr:nvSpPr>
            <xdr:cNvPr id="19481" name="LL8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1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0</xdr:colOff>
      <xdr:row>40</xdr:row>
      <xdr:rowOff>0</xdr:rowOff>
    </xdr:from>
    <xdr:to>
      <xdr:col>11</xdr:col>
      <xdr:colOff>381000</xdr:colOff>
      <xdr:row>57</xdr:row>
      <xdr:rowOff>142876</xdr:rowOff>
    </xdr:to>
    <xdr:graphicFrame macro="">
      <xdr:nvGraphicFramePr>
        <xdr:cNvPr id="16" name="Happy_1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13</xdr:col>
      <xdr:colOff>581025</xdr:colOff>
      <xdr:row>21</xdr:row>
      <xdr:rowOff>19050</xdr:rowOff>
    </xdr:from>
    <xdr:to>
      <xdr:col>14</xdr:col>
      <xdr:colOff>1133476</xdr:colOff>
      <xdr:row>28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0.13715</cdr:x>
      <cdr:y>0.05735</cdr:y>
    </cdr:from>
    <cdr:to>
      <cdr:x>0.88715</cdr:x>
      <cdr:y>0.21589</cdr:y>
    </cdr:to>
    <cdr:sp macro="" textlink="">
      <cdr:nvSpPr>
        <cdr:cNvPr id="2" name="TextBox 11">
          <a:extLst xmlns:a="http://schemas.openxmlformats.org/drawingml/2006/main">
            <a:ext uri="{FF2B5EF4-FFF2-40B4-BE49-F238E27FC236}">
              <a16:creationId xmlns:a16="http://schemas.microsoft.com/office/drawing/2014/main" id="{A8ABCE8D-227A-45E7-9691-0D06CCE2DF9C}"/>
            </a:ext>
          </a:extLst>
        </cdr:cNvPr>
        <cdr:cNvSpPr txBox="1"/>
      </cdr:nvSpPr>
      <cdr:spPr>
        <a:xfrm xmlns:a="http://schemas.openxmlformats.org/drawingml/2006/main">
          <a:off x="250820" y="52985"/>
          <a:ext cx="1371601" cy="146479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83B290-1E91-4FA1-B981-7DB3430E83C0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Red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0.20486</cdr:x>
      <cdr:y>0.28343</cdr:y>
    </cdr:from>
    <cdr:to>
      <cdr:x>0.84549</cdr:x>
      <cdr:y>0.47245</cdr:y>
    </cdr:to>
    <cdr:sp macro="" textlink="'All table'!$O$2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74648" y="399555"/>
          <a:ext cx="1171585" cy="26646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C998FE1-DCCF-4AAE-BA19-E5044258A6C9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IN" sz="1600">
              <a:solidFill>
                <a:schemeClr val="tx1">
                  <a:lumMod val="75000"/>
                  <a:lumOff val="25000"/>
                </a:schemeClr>
              </a:solidFill>
            </a:rPr>
            <a:t>Amber</a:t>
          </a:r>
          <a:r>
            <a:rPr lang="en-IN" sz="1600" baseline="0">
              <a:solidFill>
                <a:schemeClr val="tx1">
                  <a:lumMod val="75000"/>
                  <a:lumOff val="25000"/>
                </a:schemeClr>
              </a:solidFill>
            </a:rPr>
            <a:t> risk count</a:t>
          </a:r>
          <a:endParaRPr lang="en-IN" sz="16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0.21007</cdr:x>
      <cdr:y>0.26536</cdr:y>
    </cdr:from>
    <cdr:to>
      <cdr:x>0.85069</cdr:x>
      <cdr:y>0.45439</cdr:y>
    </cdr:to>
    <cdr:sp macro="" textlink="'All table'!$O$4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6" y="37407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F095316-0A76-4C24-A6B6-A54C063C46B5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0.1608</cdr:x>
      <cdr:y>0.85265</cdr:y>
    </cdr:from>
    <cdr:to>
      <cdr:x>0.2276</cdr:x>
      <cdr:y>0.95505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2889A8C6-CA60-C095-099C-18BFCF613600}"/>
            </a:ext>
          </a:extLst>
        </cdr:cNvPr>
        <cdr:cNvSpPr txBox="1"/>
      </cdr:nvSpPr>
      <cdr:spPr>
        <a:xfrm xmlns:a="http://schemas.openxmlformats.org/drawingml/2006/main">
          <a:off x="1199237" y="2801914"/>
          <a:ext cx="498200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0.2346</cdr:x>
      <cdr:y>0.85265</cdr:y>
    </cdr:from>
    <cdr:to>
      <cdr:x>0.30013</cdr:x>
      <cdr:y>0.95505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18DAB36C-1737-04C8-4F07-A0451571D7DB}"/>
            </a:ext>
          </a:extLst>
        </cdr:cNvPr>
        <cdr:cNvSpPr txBox="1"/>
      </cdr:nvSpPr>
      <cdr:spPr>
        <a:xfrm xmlns:a="http://schemas.openxmlformats.org/drawingml/2006/main">
          <a:off x="1749654" y="2801914"/>
          <a:ext cx="48872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0.29368</cdr:x>
      <cdr:y>0.85535</cdr:y>
    </cdr:from>
    <cdr:to>
      <cdr:x>0.38697</cdr:x>
      <cdr:y>0.9335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9F501FA-2632-744C-E8A7-F472C6F5B239}"/>
            </a:ext>
          </a:extLst>
        </cdr:cNvPr>
        <cdr:cNvSpPr txBox="1"/>
      </cdr:nvSpPr>
      <cdr:spPr>
        <a:xfrm xmlns:a="http://schemas.openxmlformats.org/drawingml/2006/main">
          <a:off x="2190297" y="2810786"/>
          <a:ext cx="695777" cy="256811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Force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Acceleration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0.37737</cdr:x>
      <cdr:y>0.85265</cdr:y>
    </cdr:from>
    <cdr:to>
      <cdr:x>0.44429</cdr:x>
      <cdr:y>0.95505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5C1100-935A-F690-08C2-9C72AE6C1617}"/>
            </a:ext>
          </a:extLst>
        </cdr:cNvPr>
        <cdr:cNvSpPr txBox="1"/>
      </cdr:nvSpPr>
      <cdr:spPr>
        <a:xfrm xmlns:a="http://schemas.openxmlformats.org/drawingml/2006/main">
          <a:off x="2814422" y="2801914"/>
          <a:ext cx="499094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  <a:endParaRPr lang="en-US" sz="750">
            <a:solidFill>
              <a:schemeClr val="tx1">
                <a:lumMod val="95000"/>
                <a:lumOff val="5000"/>
              </a:schemeClr>
            </a:solidFill>
            <a:latin typeface="+mj-lt"/>
          </a:endParaRPr>
        </a:p>
      </cdr:txBody>
    </cdr:sp>
  </cdr:relSizeAnchor>
  <cdr:relSizeAnchor xmlns:cdr="http://schemas.openxmlformats.org/drawingml/2006/chartDrawing">
    <cdr:from>
      <cdr:x>0.45301</cdr:x>
      <cdr:y>0.85265</cdr:y>
    </cdr:from>
    <cdr:to>
      <cdr:x>0.50958</cdr:x>
      <cdr:y>0.95505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6BE1E79F-845D-7602-C386-E402C030ECB9}"/>
            </a:ext>
          </a:extLst>
        </cdr:cNvPr>
        <cdr:cNvSpPr txBox="1"/>
      </cdr:nvSpPr>
      <cdr:spPr>
        <a:xfrm xmlns:a="http://schemas.openxmlformats.org/drawingml/2006/main">
          <a:off x="3378583" y="2801914"/>
          <a:ext cx="421892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0.52371</cdr:x>
      <cdr:y>0.85265</cdr:y>
    </cdr:from>
    <cdr:to>
      <cdr:x>0.58365</cdr:x>
      <cdr:y>0.95505</cdr:y>
    </cdr:to>
    <cdr:sp macro="" textlink="">
      <cdr:nvSpPr>
        <cdr:cNvPr id="12" name="TextBox 6">
          <a:extLst xmlns:a="http://schemas.openxmlformats.org/drawingml/2006/main">
            <a:ext uri="{FF2B5EF4-FFF2-40B4-BE49-F238E27FC236}">
              <a16:creationId xmlns:a16="http://schemas.microsoft.com/office/drawing/2014/main" id="{E6829C2B-A6DA-B9B9-6D75-BDF16EF74F5B}"/>
            </a:ext>
          </a:extLst>
        </cdr:cNvPr>
        <cdr:cNvSpPr txBox="1"/>
      </cdr:nvSpPr>
      <cdr:spPr>
        <a:xfrm xmlns:a="http://schemas.openxmlformats.org/drawingml/2006/main">
          <a:off x="3905867" y="2801914"/>
          <a:ext cx="447057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0.5873</cdr:x>
      <cdr:y>0.85265</cdr:y>
    </cdr:from>
    <cdr:to>
      <cdr:x>0.64703</cdr:x>
      <cdr:y>0.95505</cdr:y>
    </cdr:to>
    <cdr:sp macro="" textlink="">
      <cdr:nvSpPr>
        <cdr:cNvPr id="13" name="TextBox 7">
          <a:extLst xmlns:a="http://schemas.openxmlformats.org/drawingml/2006/main">
            <a:ext uri="{FF2B5EF4-FFF2-40B4-BE49-F238E27FC236}">
              <a16:creationId xmlns:a16="http://schemas.microsoft.com/office/drawing/2014/main" id="{FF186E7B-FB68-8251-739B-F715BED3ABFB}"/>
            </a:ext>
          </a:extLst>
        </cdr:cNvPr>
        <cdr:cNvSpPr txBox="1"/>
      </cdr:nvSpPr>
      <cdr:spPr>
        <a:xfrm xmlns:a="http://schemas.openxmlformats.org/drawingml/2006/main">
          <a:off x="4380127" y="2801914"/>
          <a:ext cx="445471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Over</a:t>
          </a:r>
          <a:r>
            <a:rPr lang="en-US" sz="750" baseline="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0.65519</cdr:x>
      <cdr:y>0.85265</cdr:y>
    </cdr:from>
    <cdr:to>
      <cdr:x>0.72316</cdr:x>
      <cdr:y>0.95505</cdr:y>
    </cdr:to>
    <cdr:sp macro="" textlink="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36AB956A-67AB-DC0E-0639-A7B625D828BF}"/>
            </a:ext>
          </a:extLst>
        </cdr:cNvPr>
        <cdr:cNvSpPr txBox="1"/>
      </cdr:nvSpPr>
      <cdr:spPr>
        <a:xfrm xmlns:a="http://schemas.openxmlformats.org/drawingml/2006/main">
          <a:off x="4886456" y="2801914"/>
          <a:ext cx="506926" cy="336499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50">
              <a:solidFill>
                <a:schemeClr val="tx1">
                  <a:lumMod val="95000"/>
                  <a:lumOff val="5000"/>
                </a:schemeClr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0.04131</cdr:x>
      <cdr:y>0.12489</cdr:y>
    </cdr:from>
    <cdr:to>
      <cdr:x>0.84626</cdr:x>
      <cdr:y>0.16532</cdr:y>
    </cdr:to>
    <cdr:sp macro="" textlink="">
      <cdr:nvSpPr>
        <cdr:cNvPr id="15" name="TextBox 19">
          <a:extLst xmlns:a="http://schemas.openxmlformats.org/drawingml/2006/main">
            <a:ext uri="{FF2B5EF4-FFF2-40B4-BE49-F238E27FC236}">
              <a16:creationId xmlns:a16="http://schemas.microsoft.com/office/drawing/2014/main" id="{B6ED96FC-8079-5A52-236C-33213B7C51C9}"/>
            </a:ext>
          </a:extLst>
        </cdr:cNvPr>
        <cdr:cNvSpPr txBox="1"/>
      </cdr:nvSpPr>
      <cdr:spPr>
        <a:xfrm xmlns:a="http://schemas.openxmlformats.org/drawingml/2006/main">
          <a:off x="365125" y="441325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  <cdr:relSizeAnchor xmlns:cdr="http://schemas.openxmlformats.org/drawingml/2006/chartDrawing">
    <cdr:from>
      <cdr:x>0.03484</cdr:x>
      <cdr:y>0.9416</cdr:y>
    </cdr:from>
    <cdr:to>
      <cdr:x>0.8398</cdr:x>
      <cdr:y>0.98203</cdr:y>
    </cdr:to>
    <cdr:sp macro="" textlink="">
      <cdr:nvSpPr>
        <cdr:cNvPr id="16" name="TextBox 19">
          <a:extLst xmlns:a="http://schemas.openxmlformats.org/drawingml/2006/main">
            <a:ext uri="{FF2B5EF4-FFF2-40B4-BE49-F238E27FC236}">
              <a16:creationId xmlns:a16="http://schemas.microsoft.com/office/drawing/2014/main" id="{065BBF20-C531-59F3-9586-B72EC35A3DA6}"/>
            </a:ext>
          </a:extLst>
        </cdr:cNvPr>
        <cdr:cNvSpPr txBox="1"/>
      </cdr:nvSpPr>
      <cdr:spPr>
        <a:xfrm xmlns:a="http://schemas.openxmlformats.org/drawingml/2006/main">
          <a:off x="307975" y="3327400"/>
          <a:ext cx="711517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IN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0.02667</cdr:x>
      <cdr:y>0.0174</cdr:y>
    </cdr:from>
    <cdr:to>
      <cdr:x>0.97333</cdr:x>
      <cdr:y>0.21959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987C17-2A8B-13E4-8A40-D038DCD44697}"/>
            </a:ext>
          </a:extLst>
        </cdr:cNvPr>
        <cdr:cNvSpPr txBox="1"/>
      </cdr:nvSpPr>
      <cdr:spPr>
        <a:xfrm xmlns:a="http://schemas.openxmlformats.org/drawingml/2006/main">
          <a:off x="54871" y="49057"/>
          <a:ext cx="1947658" cy="57006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900" baseline="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r>
            <a:rPr lang="en-US" sz="9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900">
              <a:effectLst/>
              <a:latin typeface="+mn-lt"/>
              <a:ea typeface="+mn-ea"/>
              <a:cs typeface="+mn-cs"/>
            </a:rPr>
            <a:t>:</a:t>
          </a:r>
          <a:endParaRPr lang="en-US" sz="900">
            <a:effectLst/>
          </a:endParaRPr>
        </a:p>
        <a:p xmlns:a="http://schemas.openxmlformats.org/drawingml/2006/main">
          <a:r>
            <a:rPr lang="en-IN" sz="9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Zipcode       :</a:t>
          </a:r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0.08802</cdr:y>
    </cdr:from>
    <cdr:to>
      <cdr:x>0.95604</cdr:x>
      <cdr:y>0.13513</cdr:y>
    </cdr:to>
    <cdr:sp macro="" textlink="'All table'!$U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232F8D15-072C-C705-3D46-687468038FEB}"/>
            </a:ext>
          </a:extLst>
        </cdr:cNvPr>
        <cdr:cNvSpPr txBox="1"/>
      </cdr:nvSpPr>
      <cdr:spPr>
        <a:xfrm xmlns:a="http://schemas.openxmlformats.org/drawingml/2006/main">
          <a:off x="802612" y="2481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C3AEB11-BEDC-4DC7-8A31-DFD3F5D94EC8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93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0.03043</cdr:y>
    </cdr:from>
    <cdr:to>
      <cdr:x>0.95604</cdr:x>
      <cdr:y>0.08108</cdr:y>
    </cdr:to>
    <cdr:sp macro="" textlink="'All table'!$T$14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F1FEEC87-463C-93AC-D17B-3266F26D33BD}"/>
            </a:ext>
          </a:extLst>
        </cdr:cNvPr>
        <cdr:cNvSpPr txBox="1"/>
      </cdr:nvSpPr>
      <cdr:spPr>
        <a:xfrm xmlns:a="http://schemas.openxmlformats.org/drawingml/2006/main">
          <a:off x="802612" y="85795"/>
          <a:ext cx="1164345" cy="1428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112A151-EF1F-4337-9267-293F128558BB}" type="TxLink">
            <a:rPr lang="en-US" sz="9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Curve</a:t>
          </a:fld>
          <a:endParaRPr lang="en-US" sz="9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0.39011</cdr:x>
      <cdr:y>0.14208</cdr:y>
    </cdr:from>
    <cdr:to>
      <cdr:x>0.95604</cdr:x>
      <cdr:y>0.18919</cdr:y>
    </cdr:to>
    <cdr:sp macro="" textlink="'All table'!$AA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39B830F1-0351-8AB2-E4B7-54A3511B8C1A}"/>
            </a:ext>
          </a:extLst>
        </cdr:cNvPr>
        <cdr:cNvSpPr txBox="1"/>
      </cdr:nvSpPr>
      <cdr:spPr>
        <a:xfrm xmlns:a="http://schemas.openxmlformats.org/drawingml/2006/main">
          <a:off x="802612" y="400568"/>
          <a:ext cx="1164345" cy="132822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76BA6F4-0047-4ECB-A0B4-72BAD8CF9F99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638459</a:t>
          </a:fld>
          <a:endParaRPr lang="en-US" sz="11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0.01918</cdr:x>
      <cdr:y>0.01207</cdr:y>
    </cdr:from>
    <cdr:to>
      <cdr:x>0.98176</cdr:x>
      <cdr:y>0.30704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698069E-422E-DCE7-AF94-3F03ED34863F}"/>
            </a:ext>
          </a:extLst>
        </cdr:cNvPr>
        <cdr:cNvSpPr txBox="1"/>
      </cdr:nvSpPr>
      <cdr:spPr>
        <a:xfrm xmlns:a="http://schemas.openxmlformats.org/drawingml/2006/main">
          <a:off x="52797" y="40814"/>
          <a:ext cx="2649718" cy="99741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0.3381</cdr:x>
      <cdr:y>0.23465</cdr:y>
    </cdr:from>
    <cdr:to>
      <cdr:x>0.92494</cdr:x>
      <cdr:y>0.27643</cdr:y>
    </cdr:to>
    <cdr:sp macro="" textlink="'All table'!$AD$14">
      <cdr:nvSpPr>
        <cdr:cNvPr id="12" name="TextBox 8">
          <a:extLst xmlns:a="http://schemas.openxmlformats.org/drawingml/2006/main">
            <a:ext uri="{FF2B5EF4-FFF2-40B4-BE49-F238E27FC236}">
              <a16:creationId xmlns:a16="http://schemas.microsoft.com/office/drawing/2014/main" id="{E6622733-EC72-9C3D-AD56-259BA984700F}"/>
            </a:ext>
          </a:extLst>
        </cdr:cNvPr>
        <cdr:cNvSpPr txBox="1"/>
      </cdr:nvSpPr>
      <cdr:spPr>
        <a:xfrm xmlns:a="http://schemas.openxmlformats.org/drawingml/2006/main">
          <a:off x="930696" y="793449"/>
          <a:ext cx="1615409" cy="141274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FB21032-106E-43A3-88D1-27DC5A37DD1F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Eco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0.18172</cdr:y>
    </cdr:from>
    <cdr:to>
      <cdr:x>0.92494</cdr:x>
      <cdr:y>0.22351</cdr:y>
    </cdr:to>
    <cdr:sp macro="" textlink="'All table'!$AC$14">
      <cdr:nvSpPr>
        <cdr:cNvPr id="13" name="TextBox 8">
          <a:extLst xmlns:a="http://schemas.openxmlformats.org/drawingml/2006/main">
            <a:ext uri="{FF2B5EF4-FFF2-40B4-BE49-F238E27FC236}">
              <a16:creationId xmlns:a16="http://schemas.microsoft.com/office/drawing/2014/main" id="{A4A2D27A-4454-82FC-5391-8E91B29B6FD1}"/>
            </a:ext>
          </a:extLst>
        </cdr:cNvPr>
        <cdr:cNvSpPr txBox="1"/>
      </cdr:nvSpPr>
      <cdr:spPr>
        <a:xfrm xmlns:a="http://schemas.openxmlformats.org/drawingml/2006/main">
          <a:off x="930696" y="614473"/>
          <a:ext cx="1615409" cy="14130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2F2B72C-8813-4CD4-9BA7-57C53026F989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Angry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0.12599</cdr:y>
    </cdr:from>
    <cdr:to>
      <cdr:x>0.92494</cdr:x>
      <cdr:y>0.17183</cdr:y>
    </cdr:to>
    <cdr:sp macro="" textlink="'All table'!$AB$14">
      <cdr:nvSpPr>
        <cdr:cNvPr id="14" name="TextBox 8">
          <a:extLst xmlns:a="http://schemas.openxmlformats.org/drawingml/2006/main">
            <a:ext uri="{FF2B5EF4-FFF2-40B4-BE49-F238E27FC236}">
              <a16:creationId xmlns:a16="http://schemas.microsoft.com/office/drawing/2014/main" id="{153D1650-454F-46DA-EE3E-79153B8C611D}"/>
            </a:ext>
          </a:extLst>
        </cdr:cNvPr>
        <cdr:cNvSpPr txBox="1"/>
      </cdr:nvSpPr>
      <cdr:spPr>
        <a:xfrm xmlns:a="http://schemas.openxmlformats.org/drawingml/2006/main">
          <a:off x="930696" y="426005"/>
          <a:ext cx="1615409" cy="15502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2D13892-79E2-407D-9AFC-2A19E232D01B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0.02627</cdr:y>
    </cdr:from>
    <cdr:to>
      <cdr:x>0.92494</cdr:x>
      <cdr:y>0.06805</cdr:y>
    </cdr:to>
    <cdr:sp macro="" textlink="'All table'!$T$14">
      <cdr:nvSpPr>
        <cdr:cNvPr id="15" name="TextBox 6">
          <a:extLst xmlns:a="http://schemas.openxmlformats.org/drawingml/2006/main">
            <a:ext uri="{FF2B5EF4-FFF2-40B4-BE49-F238E27FC236}">
              <a16:creationId xmlns:a16="http://schemas.microsoft.com/office/drawing/2014/main" id="{74B9CF8B-BECB-C718-E47A-EC49C20BDE70}"/>
            </a:ext>
          </a:extLst>
        </cdr:cNvPr>
        <cdr:cNvSpPr txBox="1"/>
      </cdr:nvSpPr>
      <cdr:spPr>
        <a:xfrm xmlns:a="http://schemas.openxmlformats.org/drawingml/2006/main">
          <a:off x="895284" y="89832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8D48E8D-ABDE-4A14-B4DB-33B1CDDB83A8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Curve</a:t>
          </a:fld>
          <a:endParaRPr lang="en-IN" sz="1000"/>
        </a:p>
      </cdr:txBody>
    </cdr:sp>
  </cdr:relSizeAnchor>
  <cdr:relSizeAnchor xmlns:cdr="http://schemas.openxmlformats.org/drawingml/2006/chartDrawing">
    <cdr:from>
      <cdr:x>0.3381</cdr:x>
      <cdr:y>0.07641</cdr:y>
    </cdr:from>
    <cdr:to>
      <cdr:x>0.92494</cdr:x>
      <cdr:y>0.11819</cdr:y>
    </cdr:to>
    <cdr:sp macro="" textlink="'All table'!$V$14">
      <cdr:nvSpPr>
        <cdr:cNvPr id="16" name="TextBox 8">
          <a:extLst xmlns:a="http://schemas.openxmlformats.org/drawingml/2006/main">
            <a:ext uri="{FF2B5EF4-FFF2-40B4-BE49-F238E27FC236}">
              <a16:creationId xmlns:a16="http://schemas.microsoft.com/office/drawing/2014/main" id="{843D34A6-F184-BC08-E7F6-03819184CA22}"/>
            </a:ext>
          </a:extLst>
        </cdr:cNvPr>
        <cdr:cNvSpPr txBox="1"/>
      </cdr:nvSpPr>
      <cdr:spPr>
        <a:xfrm xmlns:a="http://schemas.openxmlformats.org/drawingml/2006/main">
          <a:off x="895284" y="261285"/>
          <a:ext cx="1553923" cy="142877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C63CAFE-AA3B-4762-87A2-23B3E319DC2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12:23:00 PM</a:t>
          </a:fld>
          <a:endParaRPr lang="en-IN" sz="10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0.04687</cdr:x>
      <cdr:y>0.05081</cdr:y>
    </cdr:from>
    <cdr:to>
      <cdr:x>0.97396</cdr:x>
      <cdr:y>0.18902</cdr:y>
    </cdr:to>
    <cdr:sp macro="" textlink="'All table'!$O$5">
      <cdr:nvSpPr>
        <cdr:cNvPr id="5" name="TextBox 11">
          <a:extLst xmlns:a="http://schemas.openxmlformats.org/drawingml/2006/main">
            <a:ext uri="{FF2B5EF4-FFF2-40B4-BE49-F238E27FC236}">
              <a16:creationId xmlns:a16="http://schemas.microsoft.com/office/drawing/2014/main" id="{0048A1D4-8FA1-6649-6489-8C5F22FFC80B}"/>
            </a:ext>
          </a:extLst>
        </cdr:cNvPr>
        <cdr:cNvSpPr txBox="1"/>
      </cdr:nvSpPr>
      <cdr:spPr>
        <a:xfrm xmlns:a="http://schemas.openxmlformats.org/drawingml/2006/main">
          <a:off x="85725" y="79375"/>
          <a:ext cx="1695450" cy="21590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684040-4D76-42DE-9DAC-F05399594BA4}" type="TxLink">
            <a:rPr lang="en-US" sz="16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+mn-lt"/>
              <a:cs typeface="Calibri"/>
            </a:rPr>
            <a:pPr algn="ctr"/>
            <a:t>Total risk count</a:t>
          </a:fld>
          <a:endParaRPr lang="en-IN" sz="1600">
            <a:solidFill>
              <a:schemeClr val="tx1">
                <a:lumMod val="75000"/>
                <a:lumOff val="25000"/>
              </a:schemeClr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0.21007</cdr:x>
      <cdr:y>0.25185</cdr:y>
    </cdr:from>
    <cdr:to>
      <cdr:x>0.85069</cdr:x>
      <cdr:y>0.44088</cdr:y>
    </cdr:to>
    <cdr:sp macro="" textlink="'All table'!$O$6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8DABA30-EC73-482F-A5DF-35C7FFD9BF54}"/>
            </a:ext>
          </a:extLst>
        </cdr:cNvPr>
        <cdr:cNvSpPr txBox="1"/>
      </cdr:nvSpPr>
      <cdr:spPr>
        <a:xfrm xmlns:a="http://schemas.openxmlformats.org/drawingml/2006/main">
          <a:off x="384173" y="355027"/>
          <a:ext cx="1171567" cy="266476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60000"/>
            <a:lumOff val="40000"/>
          </a:schemeClr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5D6BB39-3839-4AA6-8692-CC440D6FA4C3}" type="TxLink">
            <a:rPr lang="en-US" sz="2400" b="0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rPr>
            <a:pPr algn="ctr"/>
            <a:t>77</a:t>
          </a:fld>
          <a:endParaRPr lang="en-IN" sz="2400">
            <a:solidFill>
              <a:schemeClr val="tx1">
                <a:lumMod val="75000"/>
                <a:lumOff val="25000"/>
              </a:schemeClr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7A5EB08-68F0-43EA-8142-775AB82B91CE}" name="Table810328" displayName="Table810328" ref="R1:AD9" totalsRowShown="0" headerRowDxfId="37" dataDxfId="35" headerRowBorderDxfId="36" tableBorderDxfId="34" totalsRowBorderDxfId="33">
  <autoFilter ref="R1:AD9" xr:uid="{A7A5EB08-68F0-43EA-8142-775AB82B91CE}"/>
  <tableColumns count="13">
    <tableColumn id="1" xr3:uid="{F98BB7E5-3898-43EC-9B04-0644AD39F3E9}" name="Red Alert id" dataDxfId="32"/>
    <tableColumn id="2" xr3:uid="{661869B3-93E9-4241-9778-AA442847400D}" name="Alert Severity" dataDxfId="31"/>
    <tableColumn id="3" xr3:uid="{8DF71597-7DC7-4A79-947A-2B02E0E044A6}" name="Alert Name" dataDxfId="30"/>
    <tableColumn id="4" xr3:uid="{D4BE5A44-393A-4346-B094-3ABC44257597}" name="Risk Value" dataDxfId="29"/>
    <tableColumn id="5" xr3:uid="{478390B3-A6C5-44DA-BE6D-2E258F78BCE5}" name="Time " dataDxfId="28"/>
    <tableColumn id="6" xr3:uid="{7738111C-CA31-436C-B370-FCE631DDBEEB}" name="Distance (Km)" dataDxfId="27"/>
    <tableColumn id="7" xr3:uid="{7C39AC8D-7E8C-4B17-82E8-1251A38B48E9}" name="SL/PS (Km/H)" dataDxfId="26"/>
    <tableColumn id="8" xr3:uid="{EEE9D320-A044-4650-8033-DB3215355063}" name="Speed" dataDxfId="25"/>
    <tableColumn id="9" xr3:uid="{04A4D0D2-8C13-4F79-BEB8-75B361D729F2}" name="Custom Speed" dataDxfId="24"/>
    <tableColumn id="10" xr3:uid="{0B38F726-BD3A-4C88-9A46-F9E816629875}" name="ZipCode" dataDxfId="23"/>
    <tableColumn id="11" xr3:uid="{86274278-B35F-4955-B7A9-1C7FFACF94A7}" name="Risk Style" dataDxfId="22"/>
    <tableColumn id="12" xr3:uid="{5E099142-C4E9-48DF-BB14-BBE1A773A47A}" name="Driver State" dataDxfId="21"/>
    <tableColumn id="13" xr3:uid="{031C9472-20E3-44A5-8A7E-9D5A414A1FEA}" name="Driving Style" dataDxfId="2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23235CC-75F2-42AE-87BB-0DFE900DDF3F}" name="Table104510" displayName="Table104510" ref="R13:AD14" totalsRowShown="0" headerRowDxfId="19" dataDxfId="17" headerRowBorderDxfId="18" tableBorderDxfId="16" totalsRowBorderDxfId="15">
  <autoFilter ref="R13:AD14" xr:uid="{C23235CC-75F2-42AE-87BB-0DFE900DDF3F}"/>
  <tableColumns count="13">
    <tableColumn id="1" xr3:uid="{FE8FA894-EA62-4D4B-A327-1F8E8E9F5B04}" name="Red Alert id" dataDxfId="14"/>
    <tableColumn id="2" xr3:uid="{AFCE7D60-5A2B-4AAC-B1CF-F6180E5EF06A}" name="Alert Severity" dataDxfId="13">
      <calculatedColumnFormula>VLOOKUP(R14,Table810328[#All],2,FALSE)</calculatedColumnFormula>
    </tableColumn>
    <tableColumn id="3" xr3:uid="{5012A30C-23EB-47BF-88BB-119FE8105B74}" name="Alert Name" dataDxfId="12">
      <calculatedColumnFormula>VLOOKUP(R14,Table810328[#All],3,FALSE)</calculatedColumnFormula>
    </tableColumn>
    <tableColumn id="4" xr3:uid="{8EF0C1DB-1E3A-4DD3-B8B8-D51D5AD4B736}" name="Risk Value" dataDxfId="11">
      <calculatedColumnFormula>VLOOKUP(R14,Table810328[#All],4,FALSE)</calculatedColumnFormula>
    </tableColumn>
    <tableColumn id="5" xr3:uid="{6FE52A0C-9A31-4458-AF98-EE17808A3755}" name="Time " dataDxfId="10">
      <calculatedColumnFormula>VLOOKUP(R14,Table810328[#All],5,FALSE)</calculatedColumnFormula>
    </tableColumn>
    <tableColumn id="6" xr3:uid="{0394F177-FAFB-4ADF-A952-00F1A8E0ABF6}" name="Distance (Km)" dataDxfId="9">
      <calculatedColumnFormula>VLOOKUP(R14,Table810328[#All],6,FALSE)</calculatedColumnFormula>
    </tableColumn>
    <tableColumn id="7" xr3:uid="{56F57670-05BD-4D4B-90B0-C083A1523B32}" name="P-Speed/S-Limit" dataDxfId="8">
      <calculatedColumnFormula>VLOOKUP(R14,Table810328[#All],7,FALSE)</calculatedColumnFormula>
    </tableColumn>
    <tableColumn id="8" xr3:uid="{68098955-244C-4B01-8D4D-850114FCD7F1}" name="Speed" dataDxfId="7">
      <calculatedColumnFormula>VLOOKUP(R14,Table810328[#All],8,FALSE)</calculatedColumnFormula>
    </tableColumn>
    <tableColumn id="9" xr3:uid="{10ACC17F-D006-444B-855E-E83ADC79DC5C}" name="Custom Speed" dataDxfId="6">
      <calculatedColumnFormula>VLOOKUP(R14,Table810328[#All],9,FALSE)</calculatedColumnFormula>
    </tableColumn>
    <tableColumn id="10" xr3:uid="{F646779F-4000-430E-A498-BA0BE2629A13}" name="ZipCode" dataDxfId="5">
      <calculatedColumnFormula>VLOOKUP(R14,Table810328[#All],10,FALSE)</calculatedColumnFormula>
    </tableColumn>
    <tableColumn id="11" xr3:uid="{C44DE96B-CE36-4676-A1E8-53FA0B83BE45}" name="Risk Style" dataDxfId="4">
      <calculatedColumnFormula>VLOOKUP(R14,Table810328[#All],11,FALSE)</calculatedColumnFormula>
    </tableColumn>
    <tableColumn id="12" xr3:uid="{6DB545F8-A502-4F12-8513-2B2A4685386D}" name="Driver State" dataDxfId="3">
      <calculatedColumnFormula>VLOOKUP(R14,Table810328[#All],12,FALSE)</calculatedColumnFormula>
    </tableColumn>
    <tableColumn id="13" xr3:uid="{BF4915DC-2C4B-4DC3-85C4-88CE2061ACF3}" name="Driving Style" dataDxfId="2">
      <calculatedColumnFormula>VLOOKUP(R14,Table810328[#All],13,FALSE)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image" Target="../media/image1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1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BC46D-CFCE-4F10-80AA-E3C6AB366073}">
  <sheetPr codeName="Sheet9">
    <tabColor theme="0" tint="-0.249977111117893"/>
  </sheetPr>
  <dimension ref="A1:AN78"/>
  <sheetViews>
    <sheetView showGridLines="0" topLeftCell="S1" zoomScaleNormal="100" workbookViewId="0">
      <selection activeCell="X40" sqref="X40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bestFit="1" customWidth="1"/>
    <col min="5" max="5" width="16.140625" bestFit="1" customWidth="1"/>
    <col min="6" max="6" width="16" bestFit="1" customWidth="1"/>
    <col min="7" max="7" width="10.140625" bestFit="1" customWidth="1"/>
    <col min="8" max="8" width="12" bestFit="1" customWidth="1"/>
    <col min="9" max="9" width="11.42578125" bestFit="1" customWidth="1"/>
    <col min="10" max="10" width="13.7109375" bestFit="1" customWidth="1"/>
    <col min="12" max="12" width="9.42578125" customWidth="1"/>
    <col min="13" max="13" width="7" customWidth="1"/>
    <col min="15" max="15" width="14.140625" bestFit="1" customWidth="1"/>
    <col min="18" max="18" width="15" bestFit="1" customWidth="1"/>
    <col min="19" max="19" width="16.7109375" bestFit="1" customWidth="1"/>
    <col min="20" max="26" width="20.42578125" customWidth="1"/>
    <col min="27" max="27" width="12" bestFit="1" customWidth="1"/>
    <col min="28" max="28" width="13.28515625" bestFit="1" customWidth="1"/>
    <col min="29" max="29" width="15.42578125" bestFit="1" customWidth="1"/>
    <col min="30" max="30" width="15.85546875" bestFit="1" customWidth="1"/>
    <col min="33" max="33" width="12.5703125" bestFit="1" customWidth="1"/>
    <col min="34" max="34" width="17.140625" bestFit="1" customWidth="1"/>
    <col min="35" max="35" width="16" bestFit="1" customWidth="1"/>
    <col min="36" max="36" width="16.42578125" bestFit="1" customWidth="1"/>
    <col min="37" max="37" width="19.7109375" bestFit="1" customWidth="1"/>
    <col min="38" max="38" width="14.5703125" bestFit="1" customWidth="1"/>
    <col min="39" max="39" width="13.7109375" bestFit="1" customWidth="1"/>
    <col min="40" max="40" width="13.140625" bestFit="1" customWidth="1"/>
  </cols>
  <sheetData>
    <row r="1" spans="1:40" x14ac:dyDescent="0.25">
      <c r="A1" s="1" t="s">
        <v>15</v>
      </c>
      <c r="B1" s="2" t="s">
        <v>16</v>
      </c>
      <c r="C1" s="3" t="s">
        <v>4</v>
      </c>
      <c r="D1" s="4" t="s">
        <v>17</v>
      </c>
      <c r="E1" s="4" t="s">
        <v>0</v>
      </c>
      <c r="F1" s="3" t="s">
        <v>1</v>
      </c>
      <c r="G1" s="3" t="s">
        <v>2</v>
      </c>
      <c r="H1" s="3" t="s">
        <v>3</v>
      </c>
      <c r="I1" s="17" t="s">
        <v>20</v>
      </c>
      <c r="J1" s="17" t="s">
        <v>21</v>
      </c>
      <c r="K1" s="16"/>
      <c r="L1" s="22" t="s">
        <v>19</v>
      </c>
      <c r="M1" s="19">
        <v>90</v>
      </c>
      <c r="N1" s="21"/>
      <c r="O1" s="19" t="s">
        <v>22</v>
      </c>
      <c r="P1" s="70"/>
      <c r="R1" s="24" t="s">
        <v>24</v>
      </c>
      <c r="S1" s="25" t="s">
        <v>15</v>
      </c>
      <c r="T1" s="26" t="s">
        <v>16</v>
      </c>
      <c r="U1" s="27" t="s">
        <v>4</v>
      </c>
      <c r="V1" s="28" t="s">
        <v>17</v>
      </c>
      <c r="W1" s="29" t="s">
        <v>0</v>
      </c>
      <c r="X1" s="27" t="s">
        <v>1</v>
      </c>
      <c r="Y1" s="27" t="s">
        <v>2</v>
      </c>
      <c r="Z1" s="27" t="s">
        <v>26</v>
      </c>
      <c r="AA1" s="30" t="s">
        <v>3</v>
      </c>
      <c r="AB1" s="56" t="s">
        <v>39</v>
      </c>
      <c r="AC1" s="56" t="s">
        <v>40</v>
      </c>
      <c r="AD1" s="56" t="s">
        <v>41</v>
      </c>
      <c r="AF1" s="72"/>
      <c r="AG1" s="74" t="s">
        <v>51</v>
      </c>
      <c r="AH1" s="74" t="s">
        <v>52</v>
      </c>
      <c r="AI1" s="74" t="s">
        <v>53</v>
      </c>
      <c r="AJ1" s="74" t="s">
        <v>42</v>
      </c>
      <c r="AK1" s="74" t="s">
        <v>54</v>
      </c>
      <c r="AL1" s="77" t="s">
        <v>55</v>
      </c>
      <c r="AM1" s="77" t="s">
        <v>56</v>
      </c>
      <c r="AN1" s="74" t="s">
        <v>57</v>
      </c>
    </row>
    <row r="2" spans="1:40" x14ac:dyDescent="0.25">
      <c r="A2" s="5" t="str">
        <f>IF(C2&gt;$M$1,$L$5,$L$6)</f>
        <v>Amber</v>
      </c>
      <c r="B2" s="6" t="s">
        <v>5</v>
      </c>
      <c r="C2" s="7">
        <v>22</v>
      </c>
      <c r="D2" s="8">
        <v>0.47013888888888888</v>
      </c>
      <c r="E2" s="9">
        <v>0.51</v>
      </c>
      <c r="F2" s="7">
        <v>40</v>
      </c>
      <c r="G2" s="7">
        <v>48</v>
      </c>
      <c r="H2" s="7">
        <v>641035</v>
      </c>
      <c r="I2" s="18" t="e">
        <f t="shared" ref="I2:I65" si="0">IF(C2&gt;$M$1,C2,NA())</f>
        <v>#N/A</v>
      </c>
      <c r="J2" s="18">
        <f t="shared" ref="J2:J65" si="1">IF(C2&lt;=$M$1,C2,NA())</f>
        <v>22</v>
      </c>
      <c r="K2" s="16"/>
      <c r="L2" s="21"/>
      <c r="M2" s="21"/>
      <c r="N2" s="21"/>
      <c r="O2" s="20">
        <f>COUNTIF(C2:C78,"&gt;90")</f>
        <v>8</v>
      </c>
      <c r="P2" s="70"/>
      <c r="R2" s="31" t="s">
        <v>28</v>
      </c>
      <c r="S2" s="11" t="s">
        <v>14</v>
      </c>
      <c r="T2" s="12" t="s">
        <v>7</v>
      </c>
      <c r="U2" s="13">
        <v>91</v>
      </c>
      <c r="V2" s="32">
        <v>0.47361111111111115</v>
      </c>
      <c r="W2" s="14">
        <v>3.88</v>
      </c>
      <c r="X2" s="13">
        <v>30</v>
      </c>
      <c r="Y2" s="13">
        <v>13</v>
      </c>
      <c r="Z2" s="33">
        <v>30</v>
      </c>
      <c r="AA2" s="34">
        <v>641035</v>
      </c>
      <c r="AB2" s="57" t="s">
        <v>42</v>
      </c>
      <c r="AC2" s="57" t="s">
        <v>45</v>
      </c>
      <c r="AD2" s="57" t="s">
        <v>44</v>
      </c>
      <c r="AF2" s="72"/>
      <c r="AG2" s="73" t="s">
        <v>49</v>
      </c>
      <c r="AH2" s="73">
        <v>81</v>
      </c>
      <c r="AI2" s="73">
        <v>100</v>
      </c>
      <c r="AJ2" s="73">
        <v>84</v>
      </c>
      <c r="AK2" s="75">
        <v>37</v>
      </c>
      <c r="AL2" s="76">
        <v>0.4694444444444445</v>
      </c>
      <c r="AM2" s="76">
        <v>0.57013888888888886</v>
      </c>
      <c r="AN2" s="73" t="s">
        <v>50</v>
      </c>
    </row>
    <row r="3" spans="1:40" x14ac:dyDescent="0.25">
      <c r="A3" s="5" t="str">
        <f t="shared" ref="A3:A66" si="2">IF(C3&gt;$M$1,$L$5,$L$6)</f>
        <v>Amber</v>
      </c>
      <c r="B3" s="6" t="s">
        <v>6</v>
      </c>
      <c r="C3" s="7">
        <v>2</v>
      </c>
      <c r="D3" s="8">
        <v>0.47083333333333338</v>
      </c>
      <c r="E3" s="9">
        <v>1.39</v>
      </c>
      <c r="F3" s="7" t="s">
        <v>18</v>
      </c>
      <c r="G3" s="7">
        <v>46</v>
      </c>
      <c r="H3" s="7">
        <v>641035</v>
      </c>
      <c r="I3" s="18" t="e">
        <f t="shared" si="0"/>
        <v>#N/A</v>
      </c>
      <c r="J3" s="18">
        <f t="shared" si="1"/>
        <v>2</v>
      </c>
      <c r="K3" s="16"/>
      <c r="L3" s="21"/>
      <c r="M3" s="21"/>
      <c r="N3" s="21"/>
      <c r="O3" s="19" t="s">
        <v>23</v>
      </c>
      <c r="P3" s="69"/>
      <c r="R3" s="31" t="s">
        <v>29</v>
      </c>
      <c r="S3" s="11" t="s">
        <v>14</v>
      </c>
      <c r="T3" s="12" t="s">
        <v>7</v>
      </c>
      <c r="U3" s="13">
        <v>94</v>
      </c>
      <c r="V3" s="32">
        <v>0.47500000000000003</v>
      </c>
      <c r="W3" s="14">
        <v>7.5</v>
      </c>
      <c r="X3" s="13">
        <v>16</v>
      </c>
      <c r="Y3" s="13">
        <v>1</v>
      </c>
      <c r="Z3" s="33">
        <v>16</v>
      </c>
      <c r="AA3" s="34">
        <v>641035</v>
      </c>
      <c r="AB3" s="57" t="s">
        <v>43</v>
      </c>
      <c r="AC3" s="57" t="s">
        <v>45</v>
      </c>
      <c r="AD3" s="57" t="s">
        <v>60</v>
      </c>
      <c r="AF3" s="71"/>
    </row>
    <row r="4" spans="1:40" x14ac:dyDescent="0.25">
      <c r="A4" s="5" t="str">
        <f t="shared" si="2"/>
        <v>Amber</v>
      </c>
      <c r="B4" s="6" t="s">
        <v>7</v>
      </c>
      <c r="C4" s="7">
        <v>10</v>
      </c>
      <c r="D4" s="8">
        <v>0.47083333333333338</v>
      </c>
      <c r="E4" s="9">
        <v>1.68</v>
      </c>
      <c r="F4" s="7">
        <v>60</v>
      </c>
      <c r="G4" s="7">
        <v>43</v>
      </c>
      <c r="H4" s="7">
        <v>641035</v>
      </c>
      <c r="I4" s="18" t="e">
        <f t="shared" si="0"/>
        <v>#N/A</v>
      </c>
      <c r="J4" s="18">
        <f t="shared" si="1"/>
        <v>10</v>
      </c>
      <c r="K4" s="16"/>
      <c r="L4" s="21"/>
      <c r="M4" s="21"/>
      <c r="N4" s="21"/>
      <c r="O4" s="20">
        <f>COUNTIF(C2:C78,"&lt;=90")</f>
        <v>69</v>
      </c>
      <c r="P4" s="69"/>
      <c r="R4" s="31" t="s">
        <v>30</v>
      </c>
      <c r="S4" s="11" t="s">
        <v>14</v>
      </c>
      <c r="T4" s="15" t="s">
        <v>25</v>
      </c>
      <c r="U4" s="13">
        <v>99</v>
      </c>
      <c r="V4" s="32">
        <v>0.4826388888888889</v>
      </c>
      <c r="W4" s="14">
        <v>8.8699999999999992</v>
      </c>
      <c r="X4" s="13">
        <v>21</v>
      </c>
      <c r="Y4" s="13">
        <v>90</v>
      </c>
      <c r="Z4" s="33">
        <v>90</v>
      </c>
      <c r="AA4" s="34">
        <v>641107</v>
      </c>
      <c r="AB4" s="57" t="s">
        <v>43</v>
      </c>
      <c r="AC4" s="57" t="s">
        <v>46</v>
      </c>
      <c r="AD4" s="57" t="s">
        <v>48</v>
      </c>
      <c r="AF4" s="71"/>
    </row>
    <row r="5" spans="1:40" x14ac:dyDescent="0.25">
      <c r="A5" s="5" t="str">
        <f t="shared" si="2"/>
        <v>Amber</v>
      </c>
      <c r="B5" s="10" t="s">
        <v>11</v>
      </c>
      <c r="C5" s="7">
        <v>51</v>
      </c>
      <c r="D5" s="8">
        <v>0.47152777777777777</v>
      </c>
      <c r="E5" s="9">
        <v>2.0099999999999998</v>
      </c>
      <c r="F5" s="7" t="s">
        <v>18</v>
      </c>
      <c r="G5" s="7">
        <v>52</v>
      </c>
      <c r="H5" s="7">
        <v>641035</v>
      </c>
      <c r="I5" s="18" t="e">
        <f t="shared" si="0"/>
        <v>#N/A</v>
      </c>
      <c r="J5" s="18">
        <f t="shared" si="1"/>
        <v>51</v>
      </c>
      <c r="K5" s="16"/>
      <c r="L5" s="19" t="s">
        <v>14</v>
      </c>
      <c r="M5" s="21"/>
      <c r="N5" s="21"/>
      <c r="O5" s="19" t="s">
        <v>58</v>
      </c>
      <c r="P5" s="69"/>
      <c r="R5" s="31" t="s">
        <v>31</v>
      </c>
      <c r="S5" s="11" t="s">
        <v>14</v>
      </c>
      <c r="T5" s="12" t="s">
        <v>5</v>
      </c>
      <c r="U5" s="13">
        <v>100</v>
      </c>
      <c r="V5" s="32">
        <v>0.51388888888888895</v>
      </c>
      <c r="W5" s="14">
        <v>42.06</v>
      </c>
      <c r="X5" s="13">
        <v>30</v>
      </c>
      <c r="Y5" s="13">
        <v>42</v>
      </c>
      <c r="Z5" s="33">
        <v>42</v>
      </c>
      <c r="AA5" s="34">
        <v>638459</v>
      </c>
      <c r="AB5" s="57" t="s">
        <v>42</v>
      </c>
      <c r="AC5" s="57" t="s">
        <v>45</v>
      </c>
      <c r="AD5" s="57" t="s">
        <v>47</v>
      </c>
      <c r="AF5" s="71"/>
    </row>
    <row r="6" spans="1:40" x14ac:dyDescent="0.25">
      <c r="A6" s="5" t="str">
        <f t="shared" si="2"/>
        <v>Red</v>
      </c>
      <c r="B6" s="6" t="s">
        <v>7</v>
      </c>
      <c r="C6" s="7">
        <v>91</v>
      </c>
      <c r="D6" s="8">
        <v>0.47361111111111115</v>
      </c>
      <c r="E6" s="9">
        <v>3.88</v>
      </c>
      <c r="F6" s="7">
        <v>30</v>
      </c>
      <c r="G6" s="7">
        <v>13</v>
      </c>
      <c r="H6" s="7">
        <v>641035</v>
      </c>
      <c r="I6" s="18">
        <f t="shared" si="0"/>
        <v>91</v>
      </c>
      <c r="J6" s="18" t="e">
        <f t="shared" si="1"/>
        <v>#N/A</v>
      </c>
      <c r="K6" s="16"/>
      <c r="L6" s="23" t="s">
        <v>13</v>
      </c>
      <c r="M6" s="21"/>
      <c r="N6" s="21"/>
      <c r="O6" s="20">
        <f>COUNTA(B2:B78)</f>
        <v>77</v>
      </c>
      <c r="P6" s="69"/>
      <c r="R6" s="31" t="s">
        <v>32</v>
      </c>
      <c r="S6" s="11" t="s">
        <v>14</v>
      </c>
      <c r="T6" s="15" t="s">
        <v>9</v>
      </c>
      <c r="U6" s="13">
        <v>93</v>
      </c>
      <c r="V6" s="32">
        <v>0.51597222222222217</v>
      </c>
      <c r="W6" s="14">
        <v>44.17</v>
      </c>
      <c r="X6" s="13"/>
      <c r="Y6" s="13">
        <v>37</v>
      </c>
      <c r="Z6" s="33">
        <v>37</v>
      </c>
      <c r="AA6" s="34">
        <v>638459</v>
      </c>
      <c r="AB6" s="57" t="s">
        <v>44</v>
      </c>
      <c r="AC6" s="57" t="s">
        <v>46</v>
      </c>
      <c r="AD6" s="57" t="s">
        <v>61</v>
      </c>
      <c r="AF6" s="71"/>
    </row>
    <row r="7" spans="1:40" x14ac:dyDescent="0.25">
      <c r="A7" s="5" t="str">
        <f t="shared" si="2"/>
        <v>Red</v>
      </c>
      <c r="B7" s="6" t="s">
        <v>7</v>
      </c>
      <c r="C7" s="7">
        <v>94</v>
      </c>
      <c r="D7" s="8">
        <v>0.47500000000000003</v>
      </c>
      <c r="E7" s="9">
        <v>7.5</v>
      </c>
      <c r="F7" s="7">
        <v>16</v>
      </c>
      <c r="G7" s="7">
        <v>1</v>
      </c>
      <c r="H7" s="7">
        <v>641035</v>
      </c>
      <c r="I7" s="18">
        <f t="shared" si="0"/>
        <v>94</v>
      </c>
      <c r="J7" s="18" t="e">
        <f t="shared" si="1"/>
        <v>#N/A</v>
      </c>
      <c r="K7" s="16"/>
      <c r="L7" s="16"/>
      <c r="M7" s="16"/>
      <c r="N7" s="16"/>
      <c r="O7" s="21"/>
      <c r="P7" s="69"/>
      <c r="R7" s="31" t="s">
        <v>33</v>
      </c>
      <c r="S7" s="11" t="s">
        <v>14</v>
      </c>
      <c r="T7" s="15" t="s">
        <v>9</v>
      </c>
      <c r="U7" s="13">
        <v>100</v>
      </c>
      <c r="V7" s="32">
        <v>0.53194444444444444</v>
      </c>
      <c r="W7" s="14">
        <v>54.75</v>
      </c>
      <c r="X7" s="13"/>
      <c r="Y7" s="13">
        <v>38</v>
      </c>
      <c r="Z7" s="33">
        <v>38</v>
      </c>
      <c r="AA7" s="34">
        <v>641655</v>
      </c>
      <c r="AB7" s="57" t="s">
        <v>43</v>
      </c>
      <c r="AC7" s="57" t="s">
        <v>45</v>
      </c>
      <c r="AD7" s="57" t="s">
        <v>48</v>
      </c>
      <c r="AF7" s="71"/>
    </row>
    <row r="8" spans="1:40" x14ac:dyDescent="0.25">
      <c r="A8" s="5" t="str">
        <f t="shared" si="2"/>
        <v>Amber</v>
      </c>
      <c r="B8" s="6" t="s">
        <v>7</v>
      </c>
      <c r="C8" s="7">
        <v>56</v>
      </c>
      <c r="D8" s="8">
        <v>0.47638888888888892</v>
      </c>
      <c r="E8" s="9">
        <v>8.48</v>
      </c>
      <c r="F8" s="7">
        <v>26</v>
      </c>
      <c r="G8" s="7">
        <v>9</v>
      </c>
      <c r="H8" s="7">
        <v>641107</v>
      </c>
      <c r="I8" s="18" t="e">
        <f t="shared" si="0"/>
        <v>#N/A</v>
      </c>
      <c r="J8" s="18">
        <f t="shared" si="1"/>
        <v>56</v>
      </c>
      <c r="K8" s="16"/>
      <c r="L8" s="16"/>
      <c r="M8" s="16"/>
      <c r="N8" s="16"/>
      <c r="O8" s="21"/>
      <c r="P8" s="69"/>
      <c r="R8" s="31" t="s">
        <v>34</v>
      </c>
      <c r="S8" s="11" t="s">
        <v>14</v>
      </c>
      <c r="T8" s="12" t="s">
        <v>5</v>
      </c>
      <c r="U8" s="13">
        <v>97</v>
      </c>
      <c r="V8" s="32">
        <v>0.56041666666666667</v>
      </c>
      <c r="W8" s="14">
        <v>58.4</v>
      </c>
      <c r="X8" s="13">
        <v>50</v>
      </c>
      <c r="Y8" s="13">
        <v>100</v>
      </c>
      <c r="Z8" s="33">
        <v>100</v>
      </c>
      <c r="AA8" s="34">
        <v>638459</v>
      </c>
      <c r="AB8" s="57" t="s">
        <v>42</v>
      </c>
      <c r="AC8" s="57" t="s">
        <v>44</v>
      </c>
      <c r="AD8" s="57" t="s">
        <v>61</v>
      </c>
      <c r="AF8" s="71"/>
    </row>
    <row r="9" spans="1:40" x14ac:dyDescent="0.25">
      <c r="A9" s="5" t="str">
        <f t="shared" si="2"/>
        <v>Amber</v>
      </c>
      <c r="B9" s="10" t="s">
        <v>11</v>
      </c>
      <c r="C9" s="7">
        <v>77</v>
      </c>
      <c r="D9" s="8">
        <v>0.47638888888888892</v>
      </c>
      <c r="E9" s="9">
        <v>8.5</v>
      </c>
      <c r="F9" s="7" t="s">
        <v>18</v>
      </c>
      <c r="G9" s="7">
        <v>23</v>
      </c>
      <c r="H9" s="7">
        <v>641107</v>
      </c>
      <c r="I9" s="18" t="e">
        <f t="shared" si="0"/>
        <v>#N/A</v>
      </c>
      <c r="J9" s="18">
        <f t="shared" si="1"/>
        <v>77</v>
      </c>
      <c r="K9" s="16"/>
      <c r="L9" s="16"/>
      <c r="M9" s="16"/>
      <c r="N9" s="16"/>
      <c r="O9" s="21"/>
      <c r="P9" s="69"/>
      <c r="R9" s="35" t="s">
        <v>35</v>
      </c>
      <c r="S9" s="36" t="s">
        <v>14</v>
      </c>
      <c r="T9" s="37" t="s">
        <v>7</v>
      </c>
      <c r="U9" s="38">
        <v>94</v>
      </c>
      <c r="V9" s="39">
        <v>0.5625</v>
      </c>
      <c r="W9" s="40">
        <v>60.77</v>
      </c>
      <c r="X9" s="38">
        <v>39</v>
      </c>
      <c r="Y9" s="38">
        <v>26</v>
      </c>
      <c r="Z9" s="41">
        <v>26</v>
      </c>
      <c r="AA9" s="42">
        <v>638459</v>
      </c>
      <c r="AB9" s="57" t="s">
        <v>42</v>
      </c>
      <c r="AC9" s="57" t="s">
        <v>46</v>
      </c>
      <c r="AD9" s="57" t="s">
        <v>62</v>
      </c>
      <c r="AF9" s="71"/>
    </row>
    <row r="10" spans="1:40" x14ac:dyDescent="0.25">
      <c r="A10" s="5" t="str">
        <f t="shared" si="2"/>
        <v>Amber</v>
      </c>
      <c r="B10" s="10" t="s">
        <v>12</v>
      </c>
      <c r="C10" s="7">
        <v>51</v>
      </c>
      <c r="D10" s="8">
        <v>0.4770833333333333</v>
      </c>
      <c r="E10" s="9">
        <v>8.77</v>
      </c>
      <c r="F10" s="7" t="s">
        <v>18</v>
      </c>
      <c r="G10" s="7">
        <v>46</v>
      </c>
      <c r="H10" s="7">
        <v>641107</v>
      </c>
      <c r="I10" s="18" t="e">
        <f t="shared" si="0"/>
        <v>#N/A</v>
      </c>
      <c r="J10" s="18">
        <f t="shared" si="1"/>
        <v>51</v>
      </c>
      <c r="K10" s="16"/>
      <c r="L10" s="16"/>
      <c r="M10" s="16"/>
      <c r="N10" s="16"/>
      <c r="O10" s="21"/>
      <c r="P10" s="69"/>
      <c r="R10" s="58"/>
      <c r="S10" s="58"/>
      <c r="T10" s="58"/>
      <c r="U10" s="58"/>
      <c r="V10" s="59"/>
      <c r="W10" s="58"/>
      <c r="X10" s="58"/>
      <c r="Y10" s="58"/>
      <c r="Z10" s="58"/>
      <c r="AA10" s="58"/>
      <c r="AB10" s="58"/>
      <c r="AC10" s="58"/>
      <c r="AD10" s="58"/>
      <c r="AF10" s="71"/>
    </row>
    <row r="11" spans="1:40" x14ac:dyDescent="0.25">
      <c r="A11" s="5" t="str">
        <f t="shared" si="2"/>
        <v>Red</v>
      </c>
      <c r="B11" s="10" t="s">
        <v>25</v>
      </c>
      <c r="C11" s="7">
        <v>99</v>
      </c>
      <c r="D11" s="8">
        <v>0.4826388888888889</v>
      </c>
      <c r="E11" s="9">
        <v>8.8699999999999992</v>
      </c>
      <c r="F11" s="7">
        <v>21</v>
      </c>
      <c r="G11" s="7">
        <v>90</v>
      </c>
      <c r="H11" s="7">
        <v>641107</v>
      </c>
      <c r="I11" s="18">
        <f t="shared" si="0"/>
        <v>99</v>
      </c>
      <c r="J11" s="18" t="e">
        <f t="shared" si="1"/>
        <v>#N/A</v>
      </c>
      <c r="K11" s="16"/>
      <c r="L11" s="16"/>
      <c r="M11" s="16"/>
      <c r="N11" s="16"/>
      <c r="O11" s="21"/>
      <c r="P11" s="69"/>
      <c r="R11" s="58"/>
      <c r="S11" s="58"/>
      <c r="T11" s="58"/>
      <c r="U11" s="58"/>
      <c r="V11" s="59"/>
      <c r="W11" s="58"/>
      <c r="X11" s="58"/>
      <c r="Y11" s="58"/>
      <c r="Z11" s="58"/>
      <c r="AA11" s="58"/>
      <c r="AB11" s="58"/>
      <c r="AC11" s="58"/>
      <c r="AD11" s="58"/>
      <c r="AF11" s="71"/>
    </row>
    <row r="12" spans="1:40" x14ac:dyDescent="0.25">
      <c r="A12" s="5" t="str">
        <f t="shared" si="2"/>
        <v>Amber</v>
      </c>
      <c r="B12" s="10" t="s">
        <v>12</v>
      </c>
      <c r="C12" s="7">
        <v>2</v>
      </c>
      <c r="D12" s="8">
        <v>0.48472222222222222</v>
      </c>
      <c r="E12" s="9">
        <v>10.9</v>
      </c>
      <c r="F12" s="7" t="s">
        <v>18</v>
      </c>
      <c r="G12" s="7">
        <v>41</v>
      </c>
      <c r="H12" s="7">
        <v>641107</v>
      </c>
      <c r="I12" s="18" t="e">
        <f t="shared" si="0"/>
        <v>#N/A</v>
      </c>
      <c r="J12" s="18">
        <f t="shared" si="1"/>
        <v>2</v>
      </c>
      <c r="K12" s="16"/>
      <c r="L12" s="16"/>
      <c r="M12" s="16"/>
      <c r="N12" s="16"/>
      <c r="O12" s="21"/>
      <c r="P12" s="69"/>
      <c r="R12" s="58"/>
      <c r="S12" s="58"/>
      <c r="T12" s="59"/>
      <c r="U12" s="60"/>
      <c r="V12" s="58"/>
      <c r="W12" s="58"/>
      <c r="X12" s="58"/>
      <c r="Y12" s="58"/>
      <c r="Z12" s="58"/>
      <c r="AA12" s="58"/>
      <c r="AB12" s="58"/>
      <c r="AC12" s="58"/>
      <c r="AD12" s="58"/>
      <c r="AF12" s="71"/>
    </row>
    <row r="13" spans="1:40" x14ac:dyDescent="0.25">
      <c r="A13" s="5" t="str">
        <f t="shared" si="2"/>
        <v>Amber</v>
      </c>
      <c r="B13" s="6" t="s">
        <v>7</v>
      </c>
      <c r="C13" s="7">
        <v>63</v>
      </c>
      <c r="D13" s="8">
        <v>0.48749999999999999</v>
      </c>
      <c r="E13" s="9">
        <v>13.73</v>
      </c>
      <c r="F13" s="7">
        <v>43</v>
      </c>
      <c r="G13" s="7">
        <v>30</v>
      </c>
      <c r="H13" s="7">
        <v>641107</v>
      </c>
      <c r="I13" s="18" t="e">
        <f t="shared" si="0"/>
        <v>#N/A</v>
      </c>
      <c r="J13" s="18">
        <f t="shared" si="1"/>
        <v>63</v>
      </c>
      <c r="K13" s="16"/>
      <c r="L13" s="16"/>
      <c r="M13" s="16"/>
      <c r="N13" s="16"/>
      <c r="O13" s="21"/>
      <c r="P13" s="69"/>
      <c r="R13" s="43" t="s">
        <v>24</v>
      </c>
      <c r="S13" s="44" t="s">
        <v>15</v>
      </c>
      <c r="T13" s="45" t="s">
        <v>16</v>
      </c>
      <c r="U13" s="46" t="s">
        <v>4</v>
      </c>
      <c r="V13" s="47" t="s">
        <v>17</v>
      </c>
      <c r="W13" s="48" t="s">
        <v>0</v>
      </c>
      <c r="X13" s="46" t="s">
        <v>27</v>
      </c>
      <c r="Y13" s="46" t="s">
        <v>2</v>
      </c>
      <c r="Z13" s="46" t="s">
        <v>26</v>
      </c>
      <c r="AA13" s="49" t="s">
        <v>3</v>
      </c>
      <c r="AB13" s="61" t="s">
        <v>39</v>
      </c>
      <c r="AC13" s="61" t="s">
        <v>40</v>
      </c>
      <c r="AD13" s="61" t="s">
        <v>41</v>
      </c>
      <c r="AF13" s="71"/>
    </row>
    <row r="14" spans="1:40" x14ac:dyDescent="0.25">
      <c r="A14" s="5" t="str">
        <f t="shared" si="2"/>
        <v>Amber</v>
      </c>
      <c r="B14" s="10" t="s">
        <v>11</v>
      </c>
      <c r="C14" s="7">
        <v>60</v>
      </c>
      <c r="D14" s="8">
        <v>0.48749999999999999</v>
      </c>
      <c r="E14" s="9">
        <v>13.95</v>
      </c>
      <c r="F14" s="7" t="s">
        <v>18</v>
      </c>
      <c r="G14" s="7">
        <v>35</v>
      </c>
      <c r="H14" s="7">
        <v>641107</v>
      </c>
      <c r="I14" s="18" t="e">
        <f t="shared" si="0"/>
        <v>#N/A</v>
      </c>
      <c r="J14" s="18">
        <f t="shared" si="1"/>
        <v>60</v>
      </c>
      <c r="K14" s="16"/>
      <c r="L14" s="16"/>
      <c r="M14" s="16"/>
      <c r="N14" s="16"/>
      <c r="O14" s="21"/>
      <c r="P14" s="69"/>
      <c r="R14" s="50" t="s">
        <v>32</v>
      </c>
      <c r="S14" s="51" t="str">
        <f>VLOOKUP(R14,Table810328[#All],2,FALSE)</f>
        <v>Red</v>
      </c>
      <c r="T14" s="62" t="str">
        <f>VLOOKUP(R14,Table810328[#All],3,FALSE)</f>
        <v>Curve</v>
      </c>
      <c r="U14" s="52">
        <f>VLOOKUP(R14,Table810328[#All],4,FALSE)</f>
        <v>93</v>
      </c>
      <c r="V14" s="53">
        <f>VLOOKUP(R14,Table810328[#All],5,FALSE)</f>
        <v>0.51597222222222217</v>
      </c>
      <c r="W14" s="52">
        <f>VLOOKUP(R14,Table810328[#All],6,FALSE)</f>
        <v>44.17</v>
      </c>
      <c r="X14" s="52">
        <f>VLOOKUP(R14,Table810328[#All],7,FALSE)</f>
        <v>0</v>
      </c>
      <c r="Y14" s="52">
        <f>VLOOKUP(R14,Table810328[#All],8,FALSE)</f>
        <v>37</v>
      </c>
      <c r="Z14" s="54">
        <f>VLOOKUP(R14,Table810328[#All],9,FALSE)</f>
        <v>37</v>
      </c>
      <c r="AA14" s="55">
        <f>VLOOKUP(R14,Table810328[#All],10,FALSE)</f>
        <v>638459</v>
      </c>
      <c r="AB14" s="63" t="str">
        <f>VLOOKUP(R14,Table810328[#All],11,FALSE)</f>
        <v>Unknown</v>
      </c>
      <c r="AC14" s="63" t="str">
        <f>VLOOKUP(R14,Table810328[#All],12,FALSE)</f>
        <v>Angry</v>
      </c>
      <c r="AD14" s="63" t="str">
        <f>VLOOKUP(R14,Table810328[#All],13,FALSE)</f>
        <v>Eco</v>
      </c>
      <c r="AF14" s="71"/>
    </row>
    <row r="15" spans="1:40" x14ac:dyDescent="0.25">
      <c r="A15" s="5" t="str">
        <f t="shared" si="2"/>
        <v>Amber</v>
      </c>
      <c r="B15" s="6" t="s">
        <v>7</v>
      </c>
      <c r="C15" s="7">
        <v>62</v>
      </c>
      <c r="D15" s="8">
        <v>0.48888888888888887</v>
      </c>
      <c r="E15" s="9">
        <v>15.25</v>
      </c>
      <c r="F15" s="7">
        <v>45</v>
      </c>
      <c r="G15" s="7">
        <v>29</v>
      </c>
      <c r="H15" s="7">
        <v>641107</v>
      </c>
      <c r="I15" s="18" t="e">
        <f t="shared" si="0"/>
        <v>#N/A</v>
      </c>
      <c r="J15" s="18">
        <f t="shared" si="1"/>
        <v>62</v>
      </c>
      <c r="K15" s="16"/>
      <c r="L15" s="16"/>
      <c r="M15" s="16"/>
      <c r="N15" s="16"/>
      <c r="O15" s="21"/>
      <c r="P15" s="69"/>
      <c r="AF15" s="71"/>
    </row>
    <row r="16" spans="1:40" x14ac:dyDescent="0.25">
      <c r="A16" s="5" t="str">
        <f t="shared" si="2"/>
        <v>Amber</v>
      </c>
      <c r="B16" s="6" t="s">
        <v>7</v>
      </c>
      <c r="C16" s="7">
        <v>73</v>
      </c>
      <c r="D16" s="8">
        <v>0.4909722222222222</v>
      </c>
      <c r="E16" s="9">
        <v>17.57</v>
      </c>
      <c r="F16" s="7">
        <v>64</v>
      </c>
      <c r="G16" s="7">
        <v>22</v>
      </c>
      <c r="H16" s="7">
        <v>641107</v>
      </c>
      <c r="I16" s="18" t="e">
        <f t="shared" si="0"/>
        <v>#N/A</v>
      </c>
      <c r="J16" s="18">
        <f t="shared" si="1"/>
        <v>73</v>
      </c>
      <c r="K16" s="16"/>
      <c r="L16" s="16"/>
      <c r="M16" s="16"/>
      <c r="N16" s="16"/>
      <c r="O16" s="21"/>
      <c r="P16" s="69"/>
      <c r="AF16" s="71"/>
    </row>
    <row r="17" spans="1:32" x14ac:dyDescent="0.25">
      <c r="A17" s="5" t="str">
        <f t="shared" si="2"/>
        <v>Amber</v>
      </c>
      <c r="B17" s="6" t="s">
        <v>7</v>
      </c>
      <c r="C17" s="7">
        <v>82</v>
      </c>
      <c r="D17" s="8">
        <v>0.49305555555555558</v>
      </c>
      <c r="E17" s="9">
        <v>21.29</v>
      </c>
      <c r="F17" s="7">
        <v>66</v>
      </c>
      <c r="G17" s="7">
        <v>52</v>
      </c>
      <c r="H17" s="7">
        <v>641653</v>
      </c>
      <c r="I17" s="18" t="e">
        <f t="shared" si="0"/>
        <v>#N/A</v>
      </c>
      <c r="J17" s="18">
        <f t="shared" si="1"/>
        <v>82</v>
      </c>
      <c r="K17" s="16"/>
      <c r="L17" s="16"/>
      <c r="M17" s="16"/>
      <c r="N17" s="16"/>
      <c r="O17" s="21"/>
      <c r="P17" s="69"/>
      <c r="AF17" s="71"/>
    </row>
    <row r="18" spans="1:32" x14ac:dyDescent="0.25">
      <c r="A18" s="5" t="str">
        <f t="shared" si="2"/>
        <v>Amber</v>
      </c>
      <c r="B18" s="10" t="s">
        <v>11</v>
      </c>
      <c r="C18" s="7">
        <v>53</v>
      </c>
      <c r="D18" s="8">
        <v>0.49374999999999997</v>
      </c>
      <c r="E18" s="9">
        <v>21.61</v>
      </c>
      <c r="F18" s="7" t="s">
        <v>18</v>
      </c>
      <c r="G18" s="7">
        <v>45</v>
      </c>
      <c r="H18" s="7">
        <v>641653</v>
      </c>
      <c r="I18" s="18" t="e">
        <f t="shared" si="0"/>
        <v>#N/A</v>
      </c>
      <c r="J18" s="18">
        <f t="shared" si="1"/>
        <v>53</v>
      </c>
      <c r="K18" s="16"/>
      <c r="L18" s="16"/>
      <c r="M18" s="16"/>
      <c r="N18" s="16"/>
      <c r="O18" s="21"/>
      <c r="P18" s="69"/>
      <c r="AF18" s="71"/>
    </row>
    <row r="19" spans="1:32" ht="15.75" customHeight="1" x14ac:dyDescent="0.25">
      <c r="A19" s="5" t="str">
        <f t="shared" si="2"/>
        <v>Amber</v>
      </c>
      <c r="B19" s="10" t="s">
        <v>11</v>
      </c>
      <c r="C19" s="7">
        <v>75</v>
      </c>
      <c r="D19" s="8">
        <v>0.49374999999999997</v>
      </c>
      <c r="E19" s="9">
        <v>21.65</v>
      </c>
      <c r="F19" s="7" t="s">
        <v>18</v>
      </c>
      <c r="G19" s="7">
        <v>46</v>
      </c>
      <c r="H19" s="7">
        <v>641653</v>
      </c>
      <c r="I19" s="18" t="e">
        <f t="shared" si="0"/>
        <v>#N/A</v>
      </c>
      <c r="J19" s="18">
        <f t="shared" si="1"/>
        <v>75</v>
      </c>
      <c r="K19" s="16"/>
      <c r="L19" s="16"/>
      <c r="M19" s="16"/>
      <c r="N19" s="16"/>
      <c r="O19" s="21"/>
      <c r="P19" s="69"/>
      <c r="V19" s="84" t="s">
        <v>7</v>
      </c>
      <c r="W19" s="82" t="s">
        <v>25</v>
      </c>
      <c r="X19" s="83" t="s">
        <v>5</v>
      </c>
      <c r="Y19" s="82" t="s">
        <v>9</v>
      </c>
      <c r="AF19" s="71"/>
    </row>
    <row r="20" spans="1:32" x14ac:dyDescent="0.25">
      <c r="A20" s="5" t="str">
        <f t="shared" si="2"/>
        <v>Amber</v>
      </c>
      <c r="B20" s="10" t="s">
        <v>12</v>
      </c>
      <c r="C20" s="7">
        <v>65</v>
      </c>
      <c r="D20" s="8">
        <v>0.49861111111111112</v>
      </c>
      <c r="E20" s="9">
        <v>26.47</v>
      </c>
      <c r="F20" s="7" t="s">
        <v>18</v>
      </c>
      <c r="G20" s="7">
        <v>63</v>
      </c>
      <c r="H20" s="7">
        <v>641653</v>
      </c>
      <c r="I20" s="18" t="e">
        <f t="shared" si="0"/>
        <v>#N/A</v>
      </c>
      <c r="J20" s="18">
        <f t="shared" si="1"/>
        <v>65</v>
      </c>
      <c r="K20" s="16"/>
      <c r="L20" s="16"/>
      <c r="M20" s="16"/>
      <c r="N20" s="16"/>
      <c r="O20" s="21"/>
      <c r="P20" s="69"/>
      <c r="T20" s="79"/>
      <c r="U20" s="80" t="s">
        <v>24</v>
      </c>
      <c r="V20" s="78" t="s">
        <v>4</v>
      </c>
      <c r="W20" s="78" t="s">
        <v>4</v>
      </c>
      <c r="X20" s="78" t="s">
        <v>4</v>
      </c>
      <c r="Y20" s="78" t="s">
        <v>4</v>
      </c>
      <c r="AF20" s="71"/>
    </row>
    <row r="21" spans="1:32" x14ac:dyDescent="0.25">
      <c r="A21" s="5" t="str">
        <f t="shared" si="2"/>
        <v>Amber</v>
      </c>
      <c r="B21" s="6" t="s">
        <v>7</v>
      </c>
      <c r="C21" s="7">
        <v>80</v>
      </c>
      <c r="D21" s="8">
        <v>0.50138888888888888</v>
      </c>
      <c r="E21" s="9">
        <v>30.87</v>
      </c>
      <c r="F21" s="7">
        <v>70</v>
      </c>
      <c r="G21" s="7">
        <v>52</v>
      </c>
      <c r="H21" s="7">
        <v>641653</v>
      </c>
      <c r="I21" s="18" t="e">
        <f t="shared" si="0"/>
        <v>#N/A</v>
      </c>
      <c r="J21" s="18">
        <f t="shared" si="1"/>
        <v>80</v>
      </c>
      <c r="K21" s="16"/>
      <c r="L21" s="16"/>
      <c r="M21" s="16"/>
      <c r="N21" s="16"/>
      <c r="O21" s="21"/>
      <c r="P21" s="69"/>
      <c r="T21" s="79">
        <v>0.1</v>
      </c>
      <c r="U21" s="31" t="s">
        <v>28</v>
      </c>
      <c r="V21" s="78">
        <f>IF(T2=$V$19,U2,NA())</f>
        <v>91</v>
      </c>
      <c r="W21" s="78" t="e">
        <f>IF(T2=$W$19,U2,NA())</f>
        <v>#N/A</v>
      </c>
      <c r="X21" s="78" t="e">
        <f>IF(T2=$X$19,U2,NA())</f>
        <v>#N/A</v>
      </c>
      <c r="Y21" s="78" t="e">
        <f>IF(T2=$Y$19,U2,NA())</f>
        <v>#N/A</v>
      </c>
      <c r="AF21" s="71"/>
    </row>
    <row r="22" spans="1:32" x14ac:dyDescent="0.25">
      <c r="A22" s="5" t="str">
        <f t="shared" si="2"/>
        <v>Amber</v>
      </c>
      <c r="B22" s="10" t="s">
        <v>8</v>
      </c>
      <c r="C22" s="7">
        <v>59</v>
      </c>
      <c r="D22" s="8">
        <v>0.50208333333333333</v>
      </c>
      <c r="E22" s="9">
        <v>30.93</v>
      </c>
      <c r="F22" s="7" t="s">
        <v>18</v>
      </c>
      <c r="G22" s="7">
        <v>40</v>
      </c>
      <c r="H22" s="7">
        <v>641653</v>
      </c>
      <c r="I22" s="18" t="e">
        <f t="shared" si="0"/>
        <v>#N/A</v>
      </c>
      <c r="J22" s="18">
        <f t="shared" si="1"/>
        <v>59</v>
      </c>
      <c r="K22" s="16"/>
      <c r="L22" s="16"/>
      <c r="M22" s="16"/>
      <c r="N22" s="16"/>
      <c r="O22" s="21"/>
      <c r="P22" s="69"/>
      <c r="T22" s="79">
        <v>2</v>
      </c>
      <c r="U22" s="31" t="s">
        <v>29</v>
      </c>
      <c r="V22" s="78">
        <f t="shared" ref="V22:V28" si="3">IF(T3=$V$19,U3,NA())</f>
        <v>94</v>
      </c>
      <c r="W22" s="78" t="e">
        <f t="shared" ref="W22:W28" si="4">IF(T3=$W$19,U3,NA())</f>
        <v>#N/A</v>
      </c>
      <c r="X22" s="78" t="e">
        <f t="shared" ref="X22:X28" si="5">IF(T3=$X$19,U3,NA())</f>
        <v>#N/A</v>
      </c>
      <c r="Y22" s="78" t="e">
        <f t="shared" ref="Y22:Y28" si="6">IF(T3=$Y$19,U3,NA())</f>
        <v>#N/A</v>
      </c>
      <c r="AF22" s="71"/>
    </row>
    <row r="23" spans="1:32" x14ac:dyDescent="0.25">
      <c r="A23" s="5" t="str">
        <f t="shared" si="2"/>
        <v>Amber</v>
      </c>
      <c r="B23" s="10" t="s">
        <v>8</v>
      </c>
      <c r="C23" s="7">
        <v>69</v>
      </c>
      <c r="D23" s="8">
        <v>0.50277777777777777</v>
      </c>
      <c r="E23" s="9">
        <v>30.93</v>
      </c>
      <c r="F23" s="7" t="s">
        <v>18</v>
      </c>
      <c r="G23" s="7">
        <v>40</v>
      </c>
      <c r="H23" s="7">
        <v>641653</v>
      </c>
      <c r="I23" s="18" t="e">
        <f t="shared" si="0"/>
        <v>#N/A</v>
      </c>
      <c r="J23" s="18">
        <f t="shared" si="1"/>
        <v>69</v>
      </c>
      <c r="K23" s="16"/>
      <c r="L23" s="16"/>
      <c r="M23" s="16"/>
      <c r="N23" s="16"/>
      <c r="O23" s="21"/>
      <c r="P23" s="69"/>
      <c r="T23" s="79">
        <v>3</v>
      </c>
      <c r="U23" s="31" t="s">
        <v>30</v>
      </c>
      <c r="V23" s="78" t="e">
        <f t="shared" si="3"/>
        <v>#N/A</v>
      </c>
      <c r="W23" s="78">
        <f t="shared" si="4"/>
        <v>99</v>
      </c>
      <c r="X23" s="78" t="e">
        <f t="shared" si="5"/>
        <v>#N/A</v>
      </c>
      <c r="Y23" s="78" t="e">
        <f t="shared" si="6"/>
        <v>#N/A</v>
      </c>
      <c r="AF23" s="71"/>
    </row>
    <row r="24" spans="1:32" x14ac:dyDescent="0.25">
      <c r="A24" s="5" t="str">
        <f t="shared" si="2"/>
        <v>Amber</v>
      </c>
      <c r="B24" s="6" t="s">
        <v>5</v>
      </c>
      <c r="C24" s="7">
        <v>2</v>
      </c>
      <c r="D24" s="8">
        <v>0.50208333333333333</v>
      </c>
      <c r="E24" s="9">
        <v>30.99</v>
      </c>
      <c r="F24" s="7">
        <v>40</v>
      </c>
      <c r="G24" s="7">
        <v>41</v>
      </c>
      <c r="H24" s="7">
        <v>641653</v>
      </c>
      <c r="I24" s="18" t="e">
        <f t="shared" si="0"/>
        <v>#N/A</v>
      </c>
      <c r="J24" s="18">
        <f t="shared" si="1"/>
        <v>2</v>
      </c>
      <c r="K24" s="16"/>
      <c r="L24" s="16"/>
      <c r="M24" s="16"/>
      <c r="N24" s="16"/>
      <c r="O24" s="21"/>
      <c r="P24" s="69"/>
      <c r="T24" s="79">
        <v>4</v>
      </c>
      <c r="U24" s="31" t="s">
        <v>31</v>
      </c>
      <c r="V24" s="78" t="e">
        <f t="shared" si="3"/>
        <v>#N/A</v>
      </c>
      <c r="W24" s="78" t="e">
        <f t="shared" si="4"/>
        <v>#N/A</v>
      </c>
      <c r="X24" s="78">
        <f t="shared" si="5"/>
        <v>100</v>
      </c>
      <c r="Y24" s="78" t="e">
        <f t="shared" si="6"/>
        <v>#N/A</v>
      </c>
      <c r="AF24" s="71"/>
    </row>
    <row r="25" spans="1:32" x14ac:dyDescent="0.25">
      <c r="A25" s="5" t="str">
        <f t="shared" si="2"/>
        <v>Amber</v>
      </c>
      <c r="B25" s="10" t="s">
        <v>11</v>
      </c>
      <c r="C25" s="7">
        <v>53</v>
      </c>
      <c r="D25" s="8">
        <v>0.50208333333333333</v>
      </c>
      <c r="E25" s="9">
        <v>31.37</v>
      </c>
      <c r="F25" s="7" t="s">
        <v>18</v>
      </c>
      <c r="G25" s="7">
        <v>63</v>
      </c>
      <c r="H25" s="7">
        <v>641655</v>
      </c>
      <c r="I25" s="18" t="e">
        <f t="shared" si="0"/>
        <v>#N/A</v>
      </c>
      <c r="J25" s="18">
        <f t="shared" si="1"/>
        <v>53</v>
      </c>
      <c r="K25" s="16"/>
      <c r="L25" s="16"/>
      <c r="M25" s="16"/>
      <c r="N25" s="16"/>
      <c r="O25" s="21"/>
      <c r="P25" s="69"/>
      <c r="T25" s="79">
        <v>1</v>
      </c>
      <c r="U25" s="31" t="s">
        <v>32</v>
      </c>
      <c r="V25" s="78" t="e">
        <f t="shared" si="3"/>
        <v>#N/A</v>
      </c>
      <c r="W25" s="78" t="e">
        <f t="shared" si="4"/>
        <v>#N/A</v>
      </c>
      <c r="X25" s="78" t="e">
        <f t="shared" si="5"/>
        <v>#N/A</v>
      </c>
      <c r="Y25" s="78">
        <f t="shared" si="6"/>
        <v>93</v>
      </c>
      <c r="AF25" s="71"/>
    </row>
    <row r="26" spans="1:32" x14ac:dyDescent="0.25">
      <c r="A26" s="5" t="str">
        <f t="shared" si="2"/>
        <v>Amber</v>
      </c>
      <c r="B26" s="10" t="s">
        <v>11</v>
      </c>
      <c r="C26" s="7">
        <v>69</v>
      </c>
      <c r="D26" s="8">
        <v>0.50208333333333333</v>
      </c>
      <c r="E26" s="9">
        <v>31.66</v>
      </c>
      <c r="F26" s="7" t="s">
        <v>18</v>
      </c>
      <c r="G26" s="7">
        <v>43</v>
      </c>
      <c r="H26" s="7">
        <v>641655</v>
      </c>
      <c r="I26" s="18" t="e">
        <f t="shared" si="0"/>
        <v>#N/A</v>
      </c>
      <c r="J26" s="18">
        <f t="shared" si="1"/>
        <v>69</v>
      </c>
      <c r="K26" s="16"/>
      <c r="L26" s="16"/>
      <c r="M26" s="16"/>
      <c r="N26" s="16"/>
      <c r="O26" s="21"/>
      <c r="P26" s="69"/>
      <c r="T26" s="79">
        <v>3</v>
      </c>
      <c r="U26" s="31" t="s">
        <v>33</v>
      </c>
      <c r="V26" s="78" t="e">
        <f t="shared" si="3"/>
        <v>#N/A</v>
      </c>
      <c r="W26" s="78" t="e">
        <f t="shared" si="4"/>
        <v>#N/A</v>
      </c>
      <c r="X26" s="78" t="e">
        <f t="shared" si="5"/>
        <v>#N/A</v>
      </c>
      <c r="Y26" s="78">
        <f t="shared" si="6"/>
        <v>100</v>
      </c>
      <c r="AF26" s="71"/>
    </row>
    <row r="27" spans="1:32" x14ac:dyDescent="0.25">
      <c r="A27" s="5" t="str">
        <f t="shared" si="2"/>
        <v>Amber</v>
      </c>
      <c r="B27" s="6" t="s">
        <v>7</v>
      </c>
      <c r="C27" s="7">
        <v>78</v>
      </c>
      <c r="D27" s="8">
        <v>0.50416666666666665</v>
      </c>
      <c r="E27" s="9">
        <v>34.68</v>
      </c>
      <c r="F27" s="7">
        <v>66</v>
      </c>
      <c r="G27" s="7">
        <v>50</v>
      </c>
      <c r="H27" s="7">
        <v>641302</v>
      </c>
      <c r="I27" s="18" t="e">
        <f t="shared" si="0"/>
        <v>#N/A</v>
      </c>
      <c r="J27" s="18">
        <f t="shared" si="1"/>
        <v>78</v>
      </c>
      <c r="K27" s="16"/>
      <c r="L27" s="16"/>
      <c r="M27" s="16"/>
      <c r="N27" s="16"/>
      <c r="O27" s="21"/>
      <c r="P27" s="69"/>
      <c r="T27" s="79">
        <v>1</v>
      </c>
      <c r="U27" s="31" t="s">
        <v>34</v>
      </c>
      <c r="V27" s="78" t="e">
        <f t="shared" si="3"/>
        <v>#N/A</v>
      </c>
      <c r="W27" s="78" t="e">
        <f t="shared" si="4"/>
        <v>#N/A</v>
      </c>
      <c r="X27" s="78">
        <f t="shared" si="5"/>
        <v>97</v>
      </c>
      <c r="Y27" s="78" t="e">
        <f t="shared" si="6"/>
        <v>#N/A</v>
      </c>
      <c r="AF27" s="71"/>
    </row>
    <row r="28" spans="1:32" x14ac:dyDescent="0.25">
      <c r="A28" s="5" t="str">
        <f t="shared" si="2"/>
        <v>Amber</v>
      </c>
      <c r="B28" s="10" t="s">
        <v>12</v>
      </c>
      <c r="C28" s="7">
        <v>55</v>
      </c>
      <c r="D28" s="8">
        <v>0.50624999999999998</v>
      </c>
      <c r="E28" s="9">
        <v>37.43</v>
      </c>
      <c r="F28" s="7" t="s">
        <v>18</v>
      </c>
      <c r="G28" s="7">
        <v>61</v>
      </c>
      <c r="H28" s="7">
        <v>638459</v>
      </c>
      <c r="I28" s="18" t="e">
        <f t="shared" si="0"/>
        <v>#N/A</v>
      </c>
      <c r="J28" s="18">
        <f t="shared" si="1"/>
        <v>55</v>
      </c>
      <c r="K28" s="16"/>
      <c r="L28" s="16"/>
      <c r="M28" s="16"/>
      <c r="N28" s="16"/>
      <c r="O28" s="21"/>
      <c r="P28" s="69"/>
      <c r="T28" s="79">
        <v>5</v>
      </c>
      <c r="U28" s="81" t="s">
        <v>35</v>
      </c>
      <c r="V28" s="78">
        <f t="shared" si="3"/>
        <v>94</v>
      </c>
      <c r="W28" s="78" t="e">
        <f t="shared" si="4"/>
        <v>#N/A</v>
      </c>
      <c r="X28" s="78" t="e">
        <f t="shared" si="5"/>
        <v>#N/A</v>
      </c>
      <c r="Y28" s="78" t="e">
        <f t="shared" si="6"/>
        <v>#N/A</v>
      </c>
      <c r="AF28" s="71"/>
    </row>
    <row r="29" spans="1:32" x14ac:dyDescent="0.25">
      <c r="A29" s="5" t="str">
        <f t="shared" si="2"/>
        <v>Amber</v>
      </c>
      <c r="B29" s="10" t="s">
        <v>11</v>
      </c>
      <c r="C29" s="7">
        <v>54</v>
      </c>
      <c r="D29" s="8">
        <v>0.50763888888888886</v>
      </c>
      <c r="E29" s="9">
        <v>39</v>
      </c>
      <c r="F29" s="7" t="s">
        <v>18</v>
      </c>
      <c r="G29" s="7">
        <v>34</v>
      </c>
      <c r="H29" s="7">
        <v>638459</v>
      </c>
      <c r="I29" s="18" t="e">
        <f t="shared" si="0"/>
        <v>#N/A</v>
      </c>
      <c r="J29" s="18">
        <f t="shared" si="1"/>
        <v>54</v>
      </c>
      <c r="K29" s="16"/>
      <c r="L29" s="16"/>
      <c r="M29" s="16"/>
      <c r="N29" s="16"/>
      <c r="O29" s="21"/>
      <c r="P29" s="69"/>
      <c r="AF29" s="71"/>
    </row>
    <row r="30" spans="1:32" x14ac:dyDescent="0.25">
      <c r="A30" s="5" t="str">
        <f t="shared" si="2"/>
        <v>Amber</v>
      </c>
      <c r="B30" s="10" t="s">
        <v>10</v>
      </c>
      <c r="C30" s="7">
        <v>65</v>
      </c>
      <c r="D30" s="8">
        <v>0.5083333333333333</v>
      </c>
      <c r="E30" s="9">
        <v>39.44</v>
      </c>
      <c r="F30" s="7" t="s">
        <v>18</v>
      </c>
      <c r="G30" s="7">
        <v>22</v>
      </c>
      <c r="H30" s="7">
        <v>638459</v>
      </c>
      <c r="I30" s="18" t="e">
        <f t="shared" si="0"/>
        <v>#N/A</v>
      </c>
      <c r="J30" s="18">
        <f t="shared" si="1"/>
        <v>65</v>
      </c>
      <c r="K30" s="16"/>
      <c r="L30" s="16"/>
      <c r="M30" s="16"/>
      <c r="N30" s="16"/>
      <c r="O30" s="21"/>
      <c r="P30" s="69"/>
      <c r="AF30" s="71"/>
    </row>
    <row r="31" spans="1:32" x14ac:dyDescent="0.25">
      <c r="A31" s="5" t="str">
        <f t="shared" si="2"/>
        <v>Amber</v>
      </c>
      <c r="B31" s="10" t="s">
        <v>10</v>
      </c>
      <c r="C31" s="7">
        <v>53</v>
      </c>
      <c r="D31" s="8">
        <v>0.50902777777777775</v>
      </c>
      <c r="E31" s="9">
        <v>39.520000000000003</v>
      </c>
      <c r="F31" s="7" t="s">
        <v>18</v>
      </c>
      <c r="G31" s="7">
        <v>20</v>
      </c>
      <c r="H31" s="7">
        <v>638459</v>
      </c>
      <c r="I31" s="18" t="e">
        <f t="shared" si="0"/>
        <v>#N/A</v>
      </c>
      <c r="J31" s="18">
        <f t="shared" si="1"/>
        <v>53</v>
      </c>
      <c r="K31" s="16"/>
      <c r="L31" s="16"/>
      <c r="M31" s="16"/>
      <c r="N31" s="16"/>
      <c r="O31" s="21"/>
      <c r="P31" s="69"/>
      <c r="AF31" s="71"/>
    </row>
    <row r="32" spans="1:32" x14ac:dyDescent="0.25">
      <c r="A32" s="5" t="str">
        <f t="shared" si="2"/>
        <v>Amber</v>
      </c>
      <c r="B32" s="10" t="s">
        <v>9</v>
      </c>
      <c r="C32" s="7">
        <v>51</v>
      </c>
      <c r="D32" s="8">
        <v>0.51250000000000007</v>
      </c>
      <c r="E32" s="9">
        <v>40.53</v>
      </c>
      <c r="F32" s="7" t="s">
        <v>18</v>
      </c>
      <c r="G32" s="7">
        <v>31</v>
      </c>
      <c r="H32" s="7">
        <v>638459</v>
      </c>
      <c r="I32" s="18" t="e">
        <f t="shared" si="0"/>
        <v>#N/A</v>
      </c>
      <c r="J32" s="18">
        <f t="shared" si="1"/>
        <v>51</v>
      </c>
      <c r="K32" s="16"/>
      <c r="L32" s="16"/>
      <c r="M32" s="16"/>
      <c r="N32" s="16"/>
      <c r="O32" s="21"/>
      <c r="P32" s="69"/>
      <c r="AF32" s="71"/>
    </row>
    <row r="33" spans="1:32" x14ac:dyDescent="0.25">
      <c r="A33" s="5" t="str">
        <f t="shared" si="2"/>
        <v>Amber</v>
      </c>
      <c r="B33" s="6" t="s">
        <v>5</v>
      </c>
      <c r="C33" s="7">
        <v>41</v>
      </c>
      <c r="D33" s="8">
        <v>0.51250000000000007</v>
      </c>
      <c r="E33" s="9">
        <v>40.56</v>
      </c>
      <c r="F33" s="7">
        <v>30</v>
      </c>
      <c r="G33" s="7">
        <v>40</v>
      </c>
      <c r="H33" s="7">
        <v>638459</v>
      </c>
      <c r="I33" s="18" t="e">
        <f t="shared" si="0"/>
        <v>#N/A</v>
      </c>
      <c r="J33" s="18">
        <f t="shared" si="1"/>
        <v>41</v>
      </c>
      <c r="K33" s="16"/>
      <c r="L33" s="16"/>
      <c r="M33" s="16"/>
      <c r="N33" s="16"/>
      <c r="O33" s="21"/>
      <c r="P33" s="69"/>
      <c r="AF33" s="71"/>
    </row>
    <row r="34" spans="1:32" x14ac:dyDescent="0.25">
      <c r="A34" s="5" t="str">
        <f t="shared" si="2"/>
        <v>Amber</v>
      </c>
      <c r="B34" s="10" t="s">
        <v>10</v>
      </c>
      <c r="C34" s="7">
        <v>81</v>
      </c>
      <c r="D34" s="8">
        <v>0.51250000000000007</v>
      </c>
      <c r="E34" s="9">
        <v>40.56</v>
      </c>
      <c r="F34" s="7" t="s">
        <v>18</v>
      </c>
      <c r="G34" s="7">
        <v>40</v>
      </c>
      <c r="H34" s="7">
        <v>638459</v>
      </c>
      <c r="I34" s="18" t="e">
        <f t="shared" si="0"/>
        <v>#N/A</v>
      </c>
      <c r="J34" s="18">
        <f t="shared" si="1"/>
        <v>81</v>
      </c>
      <c r="K34" s="16"/>
      <c r="L34" s="16"/>
      <c r="M34" s="16"/>
      <c r="N34" s="16"/>
      <c r="O34" s="21"/>
      <c r="P34" s="69"/>
      <c r="AF34" s="71"/>
    </row>
    <row r="35" spans="1:32" x14ac:dyDescent="0.25">
      <c r="A35" s="5" t="str">
        <f t="shared" si="2"/>
        <v>Amber</v>
      </c>
      <c r="B35" s="10" t="s">
        <v>9</v>
      </c>
      <c r="C35" s="7">
        <v>68</v>
      </c>
      <c r="D35" s="8">
        <v>0.51388888888888895</v>
      </c>
      <c r="E35" s="9">
        <v>42.01</v>
      </c>
      <c r="F35" s="7" t="s">
        <v>18</v>
      </c>
      <c r="G35" s="7">
        <v>42</v>
      </c>
      <c r="H35" s="7">
        <v>638459</v>
      </c>
      <c r="I35" s="18" t="e">
        <f t="shared" si="0"/>
        <v>#N/A</v>
      </c>
      <c r="J35" s="18">
        <f t="shared" si="1"/>
        <v>68</v>
      </c>
      <c r="K35" s="16"/>
      <c r="L35" s="16"/>
      <c r="M35" s="16"/>
      <c r="N35" s="16"/>
      <c r="O35" s="21"/>
      <c r="P35" s="69"/>
      <c r="AF35" s="71"/>
    </row>
    <row r="36" spans="1:32" x14ac:dyDescent="0.25">
      <c r="A36" s="5" t="str">
        <f t="shared" si="2"/>
        <v>Red</v>
      </c>
      <c r="B36" s="6" t="s">
        <v>5</v>
      </c>
      <c r="C36" s="7">
        <v>100</v>
      </c>
      <c r="D36" s="8">
        <v>0.51388888888888895</v>
      </c>
      <c r="E36" s="9">
        <v>42.06</v>
      </c>
      <c r="F36" s="7">
        <v>30</v>
      </c>
      <c r="G36" s="7">
        <v>42</v>
      </c>
      <c r="H36" s="7">
        <v>638459</v>
      </c>
      <c r="I36" s="18">
        <f t="shared" si="0"/>
        <v>100</v>
      </c>
      <c r="J36" s="18" t="e">
        <f t="shared" si="1"/>
        <v>#N/A</v>
      </c>
      <c r="K36" s="16"/>
      <c r="L36" s="16"/>
      <c r="M36" s="16"/>
      <c r="N36" s="16"/>
      <c r="O36" s="21"/>
      <c r="P36" s="69"/>
      <c r="AF36" s="71"/>
    </row>
    <row r="37" spans="1:32" x14ac:dyDescent="0.25">
      <c r="A37" s="5" t="str">
        <f t="shared" si="2"/>
        <v>Amber</v>
      </c>
      <c r="B37" s="6" t="s">
        <v>7</v>
      </c>
      <c r="C37" s="7">
        <v>34</v>
      </c>
      <c r="D37" s="8">
        <v>0.51388888888888895</v>
      </c>
      <c r="E37" s="9">
        <v>42.08</v>
      </c>
      <c r="F37" s="7">
        <v>42</v>
      </c>
      <c r="G37" s="7">
        <v>30</v>
      </c>
      <c r="H37" s="7">
        <v>638459</v>
      </c>
      <c r="I37" s="18" t="e">
        <f t="shared" si="0"/>
        <v>#N/A</v>
      </c>
      <c r="J37" s="18">
        <f t="shared" si="1"/>
        <v>34</v>
      </c>
      <c r="K37" s="16"/>
      <c r="L37" s="16"/>
      <c r="M37" s="16"/>
      <c r="N37" s="16"/>
      <c r="O37" s="21"/>
      <c r="P37" s="69"/>
      <c r="AF37" s="71"/>
    </row>
    <row r="38" spans="1:32" x14ac:dyDescent="0.25">
      <c r="A38" s="5" t="str">
        <f t="shared" si="2"/>
        <v>Amber</v>
      </c>
      <c r="B38" s="6" t="s">
        <v>7</v>
      </c>
      <c r="C38" s="7">
        <v>56</v>
      </c>
      <c r="D38" s="8">
        <v>0.51458333333333328</v>
      </c>
      <c r="E38" s="9">
        <v>43</v>
      </c>
      <c r="F38" s="7">
        <v>30</v>
      </c>
      <c r="G38" s="7">
        <v>10</v>
      </c>
      <c r="H38" s="7">
        <v>638459</v>
      </c>
      <c r="I38" s="18" t="e">
        <f t="shared" si="0"/>
        <v>#N/A</v>
      </c>
      <c r="J38" s="18">
        <f t="shared" si="1"/>
        <v>56</v>
      </c>
      <c r="K38" s="16"/>
      <c r="L38" s="16"/>
      <c r="M38" s="16"/>
      <c r="N38" s="16"/>
      <c r="O38" s="21"/>
      <c r="P38" s="69"/>
      <c r="AF38" s="71"/>
    </row>
    <row r="39" spans="1:32" x14ac:dyDescent="0.25">
      <c r="A39" s="5" t="str">
        <f t="shared" si="2"/>
        <v>Amber</v>
      </c>
      <c r="B39" s="6" t="s">
        <v>7</v>
      </c>
      <c r="C39" s="7">
        <v>82</v>
      </c>
      <c r="D39" s="8">
        <v>0.51527777777777783</v>
      </c>
      <c r="E39" s="9">
        <v>43.19</v>
      </c>
      <c r="F39" s="7">
        <v>29</v>
      </c>
      <c r="G39" s="7">
        <v>16</v>
      </c>
      <c r="H39" s="7">
        <v>638459</v>
      </c>
      <c r="I39" s="18" t="e">
        <f t="shared" si="0"/>
        <v>#N/A</v>
      </c>
      <c r="J39" s="18">
        <f t="shared" si="1"/>
        <v>82</v>
      </c>
      <c r="K39" s="16"/>
      <c r="L39" s="16"/>
      <c r="M39" s="16"/>
      <c r="N39" s="16"/>
      <c r="O39" s="21"/>
      <c r="P39" s="69"/>
      <c r="AF39" s="71"/>
    </row>
    <row r="40" spans="1:32" x14ac:dyDescent="0.25">
      <c r="A40" s="5" t="str">
        <f t="shared" si="2"/>
        <v>Amber</v>
      </c>
      <c r="B40" s="6" t="s">
        <v>7</v>
      </c>
      <c r="C40" s="7">
        <v>63</v>
      </c>
      <c r="D40" s="8">
        <v>0.51527777777777783</v>
      </c>
      <c r="E40" s="9">
        <v>43.49</v>
      </c>
      <c r="F40" s="7">
        <v>53</v>
      </c>
      <c r="G40" s="7">
        <v>35</v>
      </c>
      <c r="H40" s="7">
        <v>638459</v>
      </c>
      <c r="I40" s="18" t="e">
        <f t="shared" si="0"/>
        <v>#N/A</v>
      </c>
      <c r="J40" s="18">
        <f t="shared" si="1"/>
        <v>63</v>
      </c>
      <c r="K40" s="16"/>
      <c r="L40" s="16"/>
      <c r="M40" s="16"/>
      <c r="N40" s="16"/>
      <c r="O40" s="21"/>
      <c r="P40" s="69"/>
      <c r="AF40" s="71"/>
    </row>
    <row r="41" spans="1:32" x14ac:dyDescent="0.25">
      <c r="A41" s="5" t="str">
        <f t="shared" si="2"/>
        <v>Amber</v>
      </c>
      <c r="B41" s="10" t="s">
        <v>9</v>
      </c>
      <c r="C41" s="7">
        <v>56</v>
      </c>
      <c r="D41" s="8">
        <v>0.51527777777777783</v>
      </c>
      <c r="E41" s="9">
        <v>43.57</v>
      </c>
      <c r="F41" s="7" t="s">
        <v>18</v>
      </c>
      <c r="G41" s="7">
        <v>44</v>
      </c>
      <c r="H41" s="7">
        <v>638459</v>
      </c>
      <c r="I41" s="18" t="e">
        <f t="shared" si="0"/>
        <v>#N/A</v>
      </c>
      <c r="J41" s="18">
        <f t="shared" si="1"/>
        <v>56</v>
      </c>
      <c r="K41" s="16"/>
      <c r="L41" s="16"/>
      <c r="M41" s="16"/>
      <c r="N41" s="16"/>
      <c r="O41" s="21"/>
      <c r="P41" s="69"/>
      <c r="AF41" s="71"/>
    </row>
    <row r="42" spans="1:32" x14ac:dyDescent="0.25">
      <c r="A42" s="5" t="str">
        <f t="shared" si="2"/>
        <v>Amber</v>
      </c>
      <c r="B42" s="10" t="s">
        <v>9</v>
      </c>
      <c r="C42" s="7">
        <v>66</v>
      </c>
      <c r="D42" s="8">
        <v>0.51597222222222217</v>
      </c>
      <c r="E42" s="9">
        <v>43.71</v>
      </c>
      <c r="F42" s="7" t="s">
        <v>18</v>
      </c>
      <c r="G42" s="7">
        <v>42</v>
      </c>
      <c r="H42" s="7">
        <v>638459</v>
      </c>
      <c r="I42" s="18" t="e">
        <f t="shared" si="0"/>
        <v>#N/A</v>
      </c>
      <c r="J42" s="18">
        <f t="shared" si="1"/>
        <v>66</v>
      </c>
      <c r="K42" s="16"/>
      <c r="L42" s="16"/>
      <c r="M42" s="16"/>
      <c r="N42" s="16"/>
      <c r="O42" s="21"/>
      <c r="P42" s="69"/>
      <c r="AF42" s="71"/>
    </row>
    <row r="43" spans="1:32" x14ac:dyDescent="0.25">
      <c r="A43" s="5" t="str">
        <f t="shared" si="2"/>
        <v>Amber</v>
      </c>
      <c r="B43" s="6" t="s">
        <v>5</v>
      </c>
      <c r="C43" s="7">
        <v>82</v>
      </c>
      <c r="D43" s="8">
        <v>0.51597222222222217</v>
      </c>
      <c r="E43" s="9">
        <v>44.02</v>
      </c>
      <c r="F43" s="7">
        <v>50</v>
      </c>
      <c r="G43" s="7">
        <v>55</v>
      </c>
      <c r="H43" s="7">
        <v>638459</v>
      </c>
      <c r="I43" s="18" t="e">
        <f t="shared" si="0"/>
        <v>#N/A</v>
      </c>
      <c r="J43" s="18">
        <f t="shared" si="1"/>
        <v>82</v>
      </c>
      <c r="K43" s="16"/>
      <c r="L43" s="16"/>
      <c r="M43" s="16"/>
      <c r="N43" s="16"/>
      <c r="O43" s="21"/>
      <c r="P43" s="69"/>
      <c r="AF43" s="71"/>
    </row>
    <row r="44" spans="1:32" x14ac:dyDescent="0.25">
      <c r="A44" s="5" t="str">
        <f t="shared" si="2"/>
        <v>Amber</v>
      </c>
      <c r="B44" s="10" t="s">
        <v>9</v>
      </c>
      <c r="C44" s="7">
        <v>76</v>
      </c>
      <c r="D44" s="8">
        <v>0.51597222222222217</v>
      </c>
      <c r="E44" s="9">
        <v>44</v>
      </c>
      <c r="F44" s="7" t="s">
        <v>18</v>
      </c>
      <c r="G44" s="7">
        <v>57</v>
      </c>
      <c r="H44" s="7">
        <v>638459</v>
      </c>
      <c r="I44" s="18" t="e">
        <f t="shared" si="0"/>
        <v>#N/A</v>
      </c>
      <c r="J44" s="18">
        <f t="shared" si="1"/>
        <v>76</v>
      </c>
      <c r="K44" s="16"/>
      <c r="L44" s="16"/>
      <c r="M44" s="16"/>
      <c r="N44" s="16"/>
      <c r="O44" s="21"/>
      <c r="P44" s="69"/>
      <c r="AF44" s="71"/>
    </row>
    <row r="45" spans="1:32" x14ac:dyDescent="0.25">
      <c r="A45" s="5" t="str">
        <f t="shared" si="2"/>
        <v>Amber</v>
      </c>
      <c r="B45" s="6" t="s">
        <v>7</v>
      </c>
      <c r="C45" s="7">
        <v>90</v>
      </c>
      <c r="D45" s="8">
        <v>0.51597222222222217</v>
      </c>
      <c r="E45" s="9">
        <v>44.15</v>
      </c>
      <c r="F45" s="7">
        <v>53</v>
      </c>
      <c r="G45" s="7">
        <v>40</v>
      </c>
      <c r="H45" s="7">
        <v>638459</v>
      </c>
      <c r="I45" s="18" t="e">
        <f t="shared" si="0"/>
        <v>#N/A</v>
      </c>
      <c r="J45" s="18">
        <f t="shared" si="1"/>
        <v>90</v>
      </c>
      <c r="K45" s="16"/>
      <c r="L45" s="16"/>
      <c r="M45" s="16"/>
      <c r="N45" s="16"/>
      <c r="O45" s="21"/>
      <c r="P45" s="69"/>
      <c r="AF45" s="71"/>
    </row>
    <row r="46" spans="1:32" x14ac:dyDescent="0.25">
      <c r="A46" s="5" t="str">
        <f t="shared" si="2"/>
        <v>Red</v>
      </c>
      <c r="B46" s="10" t="s">
        <v>9</v>
      </c>
      <c r="C46" s="7">
        <v>93</v>
      </c>
      <c r="D46" s="8">
        <v>0.51597222222222217</v>
      </c>
      <c r="E46" s="9">
        <v>44.17</v>
      </c>
      <c r="F46" s="7" t="s">
        <v>18</v>
      </c>
      <c r="G46" s="7">
        <v>38</v>
      </c>
      <c r="H46" s="7">
        <v>638459</v>
      </c>
      <c r="I46" s="18">
        <f t="shared" si="0"/>
        <v>93</v>
      </c>
      <c r="J46" s="18" t="e">
        <f t="shared" si="1"/>
        <v>#N/A</v>
      </c>
      <c r="K46" s="16"/>
      <c r="L46" s="16"/>
      <c r="M46" s="16"/>
      <c r="N46" s="16"/>
      <c r="O46" s="21"/>
      <c r="P46" s="69"/>
      <c r="AF46" s="71"/>
    </row>
    <row r="47" spans="1:32" x14ac:dyDescent="0.25">
      <c r="A47" s="5" t="str">
        <f t="shared" si="2"/>
        <v>Amber</v>
      </c>
      <c r="B47" s="6" t="s">
        <v>7</v>
      </c>
      <c r="C47" s="7">
        <v>82</v>
      </c>
      <c r="D47" s="8">
        <v>0.51666666666666672</v>
      </c>
      <c r="E47" s="9">
        <v>44.59</v>
      </c>
      <c r="F47" s="7">
        <v>33</v>
      </c>
      <c r="G47" s="7">
        <v>14</v>
      </c>
      <c r="H47" s="7">
        <v>638459</v>
      </c>
      <c r="I47" s="18" t="e">
        <f t="shared" si="0"/>
        <v>#N/A</v>
      </c>
      <c r="J47" s="18">
        <f t="shared" si="1"/>
        <v>82</v>
      </c>
      <c r="K47" s="16"/>
      <c r="L47" s="16"/>
      <c r="M47" s="16"/>
      <c r="N47" s="16"/>
      <c r="O47" s="21"/>
      <c r="P47" s="69"/>
      <c r="AF47" s="71"/>
    </row>
    <row r="48" spans="1:32" x14ac:dyDescent="0.25">
      <c r="A48" s="5" t="str">
        <f t="shared" si="2"/>
        <v>Amber</v>
      </c>
      <c r="B48" s="10" t="s">
        <v>9</v>
      </c>
      <c r="C48" s="7">
        <v>56</v>
      </c>
      <c r="D48" s="8">
        <v>0.51874999999999993</v>
      </c>
      <c r="E48" s="9">
        <v>45.25</v>
      </c>
      <c r="F48" s="7" t="s">
        <v>18</v>
      </c>
      <c r="G48" s="7">
        <v>52</v>
      </c>
      <c r="H48" s="7">
        <v>638459</v>
      </c>
      <c r="I48" s="18" t="e">
        <f t="shared" si="0"/>
        <v>#N/A</v>
      </c>
      <c r="J48" s="18">
        <f t="shared" si="1"/>
        <v>56</v>
      </c>
      <c r="K48" s="16"/>
      <c r="L48" s="16"/>
      <c r="M48" s="16"/>
      <c r="N48" s="16"/>
      <c r="O48" s="21"/>
      <c r="P48" s="69"/>
      <c r="AF48" s="71"/>
    </row>
    <row r="49" spans="1:32" x14ac:dyDescent="0.25">
      <c r="A49" s="5" t="str">
        <f t="shared" si="2"/>
        <v>Amber</v>
      </c>
      <c r="B49" s="6" t="s">
        <v>7</v>
      </c>
      <c r="C49" s="7">
        <v>34</v>
      </c>
      <c r="D49" s="8">
        <v>0.51944444444444449</v>
      </c>
      <c r="E49" s="9">
        <v>45.97</v>
      </c>
      <c r="F49" s="7">
        <v>59</v>
      </c>
      <c r="G49" s="7">
        <v>35</v>
      </c>
      <c r="H49" s="7">
        <v>638459</v>
      </c>
      <c r="I49" s="18" t="e">
        <f t="shared" si="0"/>
        <v>#N/A</v>
      </c>
      <c r="J49" s="18">
        <f t="shared" si="1"/>
        <v>34</v>
      </c>
      <c r="K49" s="16"/>
      <c r="L49" s="16"/>
      <c r="M49" s="16"/>
      <c r="N49" s="16"/>
      <c r="O49" s="21"/>
      <c r="P49" s="69"/>
      <c r="AF49" s="71"/>
    </row>
    <row r="50" spans="1:32" x14ac:dyDescent="0.25">
      <c r="A50" s="5" t="str">
        <f t="shared" si="2"/>
        <v>Amber</v>
      </c>
      <c r="B50" s="6" t="s">
        <v>7</v>
      </c>
      <c r="C50" s="7">
        <v>43</v>
      </c>
      <c r="D50" s="8">
        <v>0.52083333333333337</v>
      </c>
      <c r="E50" s="9">
        <v>46.42</v>
      </c>
      <c r="F50" s="7">
        <v>38</v>
      </c>
      <c r="G50" s="7">
        <v>26</v>
      </c>
      <c r="H50" s="7">
        <v>638459</v>
      </c>
      <c r="I50" s="18" t="e">
        <f t="shared" si="0"/>
        <v>#N/A</v>
      </c>
      <c r="J50" s="18">
        <f t="shared" si="1"/>
        <v>43</v>
      </c>
      <c r="K50" s="16"/>
      <c r="L50" s="16"/>
      <c r="M50" s="16"/>
      <c r="N50" s="16"/>
      <c r="O50" s="21"/>
      <c r="P50" s="69"/>
      <c r="AF50" s="71"/>
    </row>
    <row r="51" spans="1:32" x14ac:dyDescent="0.25">
      <c r="A51" s="5" t="str">
        <f t="shared" si="2"/>
        <v>Amber</v>
      </c>
      <c r="B51" s="6" t="s">
        <v>5</v>
      </c>
      <c r="C51" s="7">
        <v>21</v>
      </c>
      <c r="D51" s="8">
        <v>0.52152777777777781</v>
      </c>
      <c r="E51" s="9">
        <v>46.93</v>
      </c>
      <c r="F51" s="7">
        <v>50</v>
      </c>
      <c r="G51" s="7">
        <v>64</v>
      </c>
      <c r="H51" s="7">
        <v>638459</v>
      </c>
      <c r="I51" s="18" t="e">
        <f t="shared" si="0"/>
        <v>#N/A</v>
      </c>
      <c r="J51" s="18">
        <f t="shared" si="1"/>
        <v>21</v>
      </c>
      <c r="K51" s="16"/>
      <c r="L51" s="16"/>
      <c r="M51" s="16"/>
      <c r="N51" s="16"/>
      <c r="O51" s="21"/>
      <c r="P51" s="69"/>
      <c r="AF51" s="71"/>
    </row>
    <row r="52" spans="1:32" x14ac:dyDescent="0.25">
      <c r="A52" s="5" t="str">
        <f t="shared" si="2"/>
        <v>Amber</v>
      </c>
      <c r="B52" s="10" t="s">
        <v>9</v>
      </c>
      <c r="C52" s="7">
        <v>57</v>
      </c>
      <c r="D52" s="8">
        <v>0.52361111111111114</v>
      </c>
      <c r="E52" s="9">
        <v>48.98</v>
      </c>
      <c r="F52" s="7" t="s">
        <v>18</v>
      </c>
      <c r="G52" s="7">
        <v>25</v>
      </c>
      <c r="H52" s="7">
        <v>638459</v>
      </c>
      <c r="I52" s="18" t="e">
        <f t="shared" si="0"/>
        <v>#N/A</v>
      </c>
      <c r="J52" s="18">
        <f t="shared" si="1"/>
        <v>57</v>
      </c>
      <c r="K52" s="16"/>
      <c r="L52" s="16"/>
      <c r="M52" s="16"/>
      <c r="N52" s="16"/>
      <c r="O52" s="21"/>
      <c r="P52" s="69"/>
      <c r="AF52" s="71"/>
    </row>
    <row r="53" spans="1:32" x14ac:dyDescent="0.25">
      <c r="A53" s="5" t="str">
        <f t="shared" si="2"/>
        <v>Amber</v>
      </c>
      <c r="B53" s="6" t="s">
        <v>5</v>
      </c>
      <c r="C53" s="7">
        <v>42</v>
      </c>
      <c r="D53" s="8">
        <v>0.52361111111111114</v>
      </c>
      <c r="E53" s="9">
        <v>49.1</v>
      </c>
      <c r="F53" s="7">
        <v>30</v>
      </c>
      <c r="G53" s="7">
        <v>32</v>
      </c>
      <c r="H53" s="7">
        <v>638459</v>
      </c>
      <c r="I53" s="18" t="e">
        <f t="shared" si="0"/>
        <v>#N/A</v>
      </c>
      <c r="J53" s="18">
        <f t="shared" si="1"/>
        <v>42</v>
      </c>
      <c r="K53" s="16"/>
      <c r="L53" s="16"/>
      <c r="M53" s="16"/>
      <c r="N53" s="16"/>
      <c r="O53" s="21"/>
      <c r="P53" s="69"/>
      <c r="AF53" s="71"/>
    </row>
    <row r="54" spans="1:32" x14ac:dyDescent="0.25">
      <c r="A54" s="5" t="str">
        <f t="shared" si="2"/>
        <v>Amber</v>
      </c>
      <c r="B54" s="6" t="s">
        <v>5</v>
      </c>
      <c r="C54" s="7">
        <v>2</v>
      </c>
      <c r="D54" s="8">
        <v>0.52430555555555558</v>
      </c>
      <c r="E54" s="9">
        <v>49.5</v>
      </c>
      <c r="F54" s="7">
        <v>30</v>
      </c>
      <c r="G54" s="7">
        <v>33</v>
      </c>
      <c r="H54" s="7">
        <v>638459</v>
      </c>
      <c r="I54" s="18" t="e">
        <f t="shared" si="0"/>
        <v>#N/A</v>
      </c>
      <c r="J54" s="18">
        <f t="shared" si="1"/>
        <v>2</v>
      </c>
      <c r="K54" s="16"/>
      <c r="L54" s="16"/>
      <c r="M54" s="16"/>
      <c r="N54" s="16"/>
      <c r="O54" s="21"/>
      <c r="P54" s="69"/>
      <c r="AF54" s="71"/>
    </row>
    <row r="55" spans="1:32" x14ac:dyDescent="0.25">
      <c r="A55" s="5" t="str">
        <f t="shared" si="2"/>
        <v>Amber</v>
      </c>
      <c r="B55" s="10" t="s">
        <v>9</v>
      </c>
      <c r="C55" s="7">
        <v>62</v>
      </c>
      <c r="D55" s="8">
        <v>0.52569444444444446</v>
      </c>
      <c r="E55" s="9">
        <v>50.14</v>
      </c>
      <c r="F55" s="7" t="s">
        <v>18</v>
      </c>
      <c r="G55" s="7">
        <v>38</v>
      </c>
      <c r="H55" s="7">
        <v>638459</v>
      </c>
      <c r="I55" s="18" t="e">
        <f t="shared" si="0"/>
        <v>#N/A</v>
      </c>
      <c r="J55" s="18">
        <f t="shared" si="1"/>
        <v>62</v>
      </c>
      <c r="K55" s="16"/>
      <c r="L55" s="16"/>
      <c r="M55" s="16"/>
      <c r="N55" s="16"/>
      <c r="O55" s="21"/>
      <c r="P55" s="69"/>
      <c r="AF55" s="71"/>
    </row>
    <row r="56" spans="1:32" x14ac:dyDescent="0.25">
      <c r="A56" s="5" t="str">
        <f t="shared" si="2"/>
        <v>Amber</v>
      </c>
      <c r="B56" s="6" t="s">
        <v>5</v>
      </c>
      <c r="C56" s="7">
        <v>56</v>
      </c>
      <c r="D56" s="8">
        <v>0.52569444444444446</v>
      </c>
      <c r="E56" s="9">
        <v>50.7</v>
      </c>
      <c r="F56" s="7">
        <v>30</v>
      </c>
      <c r="G56" s="7">
        <v>45</v>
      </c>
      <c r="H56" s="7">
        <v>638459</v>
      </c>
      <c r="I56" s="18" t="e">
        <f t="shared" si="0"/>
        <v>#N/A</v>
      </c>
      <c r="J56" s="18">
        <f t="shared" si="1"/>
        <v>56</v>
      </c>
      <c r="K56" s="16"/>
      <c r="L56" s="16"/>
      <c r="M56" s="16"/>
      <c r="N56" s="16"/>
      <c r="O56" s="21"/>
      <c r="P56" s="69"/>
      <c r="AF56" s="71"/>
    </row>
    <row r="57" spans="1:32" x14ac:dyDescent="0.25">
      <c r="A57" s="5" t="str">
        <f t="shared" si="2"/>
        <v>Amber</v>
      </c>
      <c r="B57" s="10" t="s">
        <v>9</v>
      </c>
      <c r="C57" s="7">
        <v>60</v>
      </c>
      <c r="D57" s="8">
        <v>0.52569444444444446</v>
      </c>
      <c r="E57" s="9">
        <v>50.72</v>
      </c>
      <c r="F57" s="7" t="s">
        <v>18</v>
      </c>
      <c r="G57" s="7">
        <v>47</v>
      </c>
      <c r="H57" s="7">
        <v>638459</v>
      </c>
      <c r="I57" s="18" t="e">
        <f t="shared" si="0"/>
        <v>#N/A</v>
      </c>
      <c r="J57" s="18">
        <f t="shared" si="1"/>
        <v>60</v>
      </c>
      <c r="K57" s="16"/>
      <c r="L57" s="16"/>
      <c r="M57" s="16"/>
      <c r="N57" s="16"/>
      <c r="O57" s="21"/>
      <c r="P57" s="69"/>
      <c r="AF57" s="71"/>
    </row>
    <row r="58" spans="1:32" x14ac:dyDescent="0.25">
      <c r="A58" s="5" t="str">
        <f t="shared" si="2"/>
        <v>Amber</v>
      </c>
      <c r="B58" s="6" t="s">
        <v>7</v>
      </c>
      <c r="C58" s="7">
        <v>69</v>
      </c>
      <c r="D58" s="8">
        <v>0.52638888888888891</v>
      </c>
      <c r="E58" s="9">
        <v>50.81</v>
      </c>
      <c r="F58" s="7">
        <v>24</v>
      </c>
      <c r="G58" s="7">
        <v>11</v>
      </c>
      <c r="H58" s="7">
        <v>638459</v>
      </c>
      <c r="I58" s="18" t="e">
        <f t="shared" si="0"/>
        <v>#N/A</v>
      </c>
      <c r="J58" s="18">
        <f t="shared" si="1"/>
        <v>69</v>
      </c>
      <c r="K58" s="16"/>
      <c r="L58" s="16"/>
      <c r="M58" s="16"/>
      <c r="N58" s="16"/>
      <c r="O58" s="21"/>
      <c r="P58" s="69"/>
      <c r="AF58" s="71"/>
    </row>
    <row r="59" spans="1:32" x14ac:dyDescent="0.25">
      <c r="A59" s="5" t="str">
        <f t="shared" si="2"/>
        <v>Amber</v>
      </c>
      <c r="B59" s="10" t="s">
        <v>9</v>
      </c>
      <c r="C59" s="7">
        <v>62</v>
      </c>
      <c r="D59" s="8">
        <v>0.52638888888888891</v>
      </c>
      <c r="E59" s="9">
        <v>50.92</v>
      </c>
      <c r="F59" s="7" t="s">
        <v>18</v>
      </c>
      <c r="G59" s="7">
        <v>46</v>
      </c>
      <c r="H59" s="7">
        <v>638459</v>
      </c>
      <c r="I59" s="18" t="e">
        <f t="shared" si="0"/>
        <v>#N/A</v>
      </c>
      <c r="J59" s="18">
        <f t="shared" si="1"/>
        <v>62</v>
      </c>
      <c r="K59" s="16"/>
      <c r="L59" s="16"/>
      <c r="M59" s="16"/>
      <c r="N59" s="16"/>
      <c r="O59" s="21"/>
      <c r="P59" s="69"/>
      <c r="AF59" s="71"/>
    </row>
    <row r="60" spans="1:32" x14ac:dyDescent="0.25">
      <c r="A60" s="5" t="str">
        <f t="shared" si="2"/>
        <v>Amber</v>
      </c>
      <c r="B60" s="6" t="s">
        <v>7</v>
      </c>
      <c r="C60" s="7">
        <v>72</v>
      </c>
      <c r="D60" s="8">
        <v>0.52986111111111112</v>
      </c>
      <c r="E60" s="9">
        <v>53.01</v>
      </c>
      <c r="F60" s="7">
        <v>38</v>
      </c>
      <c r="G60" s="7">
        <v>23</v>
      </c>
      <c r="H60" s="7">
        <v>638459</v>
      </c>
      <c r="I60" s="18" t="e">
        <f t="shared" si="0"/>
        <v>#N/A</v>
      </c>
      <c r="J60" s="18">
        <f t="shared" si="1"/>
        <v>72</v>
      </c>
      <c r="K60" s="16"/>
      <c r="L60" s="16"/>
      <c r="M60" s="16"/>
      <c r="N60" s="16"/>
      <c r="O60" s="21"/>
      <c r="P60" s="69"/>
      <c r="AF60" s="71"/>
    </row>
    <row r="61" spans="1:32" x14ac:dyDescent="0.25">
      <c r="A61" s="5" t="str">
        <f t="shared" si="2"/>
        <v>Amber</v>
      </c>
      <c r="B61" s="6" t="s">
        <v>5</v>
      </c>
      <c r="C61" s="7">
        <v>39</v>
      </c>
      <c r="D61" s="8">
        <v>0.53055555555555556</v>
      </c>
      <c r="E61" s="9">
        <v>53.67</v>
      </c>
      <c r="F61" s="7">
        <v>50</v>
      </c>
      <c r="G61" s="7">
        <v>70</v>
      </c>
      <c r="H61" s="7">
        <v>641655</v>
      </c>
      <c r="I61" s="18" t="e">
        <f t="shared" si="0"/>
        <v>#N/A</v>
      </c>
      <c r="J61" s="18">
        <f t="shared" si="1"/>
        <v>39</v>
      </c>
      <c r="K61" s="16"/>
      <c r="L61" s="16"/>
      <c r="M61" s="16"/>
      <c r="N61" s="16"/>
      <c r="O61" s="21"/>
      <c r="P61" s="69"/>
      <c r="AF61" s="71"/>
    </row>
    <row r="62" spans="1:32" x14ac:dyDescent="0.25">
      <c r="A62" s="5" t="str">
        <f t="shared" si="2"/>
        <v>Amber</v>
      </c>
      <c r="B62" s="6" t="s">
        <v>5</v>
      </c>
      <c r="C62" s="7">
        <v>21</v>
      </c>
      <c r="D62" s="8">
        <v>0.53194444444444444</v>
      </c>
      <c r="E62" s="9">
        <v>54.74</v>
      </c>
      <c r="F62" s="7">
        <v>30</v>
      </c>
      <c r="G62" s="7">
        <v>36</v>
      </c>
      <c r="H62" s="7">
        <v>641655</v>
      </c>
      <c r="I62" s="18" t="e">
        <f t="shared" si="0"/>
        <v>#N/A</v>
      </c>
      <c r="J62" s="18">
        <f t="shared" si="1"/>
        <v>21</v>
      </c>
      <c r="K62" s="16"/>
      <c r="L62" s="16"/>
      <c r="M62" s="16"/>
      <c r="N62" s="16"/>
      <c r="O62" s="21"/>
      <c r="P62" s="69"/>
      <c r="AF62" s="71"/>
    </row>
    <row r="63" spans="1:32" x14ac:dyDescent="0.25">
      <c r="A63" s="5" t="str">
        <f t="shared" si="2"/>
        <v>Red</v>
      </c>
      <c r="B63" s="10" t="s">
        <v>9</v>
      </c>
      <c r="C63" s="7">
        <v>100</v>
      </c>
      <c r="D63" s="8">
        <v>0.53194444444444444</v>
      </c>
      <c r="E63" s="9">
        <v>54.75</v>
      </c>
      <c r="F63" s="7" t="s">
        <v>18</v>
      </c>
      <c r="G63" s="7">
        <v>37</v>
      </c>
      <c r="H63" s="7">
        <v>641655</v>
      </c>
      <c r="I63" s="18">
        <f t="shared" si="0"/>
        <v>100</v>
      </c>
      <c r="J63" s="18" t="e">
        <f t="shared" si="1"/>
        <v>#N/A</v>
      </c>
      <c r="K63" s="16"/>
      <c r="L63" s="16"/>
      <c r="M63" s="16"/>
      <c r="N63" s="16"/>
      <c r="O63" s="21"/>
      <c r="P63" s="69"/>
      <c r="AF63" s="71"/>
    </row>
    <row r="64" spans="1:32" x14ac:dyDescent="0.25">
      <c r="A64" s="5" t="str">
        <f t="shared" si="2"/>
        <v>Amber</v>
      </c>
      <c r="B64" s="10" t="s">
        <v>9</v>
      </c>
      <c r="C64" s="7">
        <v>67</v>
      </c>
      <c r="D64" s="8">
        <v>0.53263888888888888</v>
      </c>
      <c r="E64" s="9">
        <v>55.19</v>
      </c>
      <c r="F64" s="7" t="s">
        <v>18</v>
      </c>
      <c r="G64" s="7">
        <v>50</v>
      </c>
      <c r="H64" s="7">
        <v>641655</v>
      </c>
      <c r="I64" s="18" t="e">
        <f t="shared" si="0"/>
        <v>#N/A</v>
      </c>
      <c r="J64" s="18">
        <f t="shared" si="1"/>
        <v>67</v>
      </c>
      <c r="K64" s="16"/>
      <c r="L64" s="16"/>
      <c r="M64" s="16"/>
      <c r="N64" s="16"/>
      <c r="O64" s="21"/>
      <c r="P64" s="69"/>
      <c r="AF64" s="71"/>
    </row>
    <row r="65" spans="1:32" x14ac:dyDescent="0.25">
      <c r="A65" s="5" t="str">
        <f t="shared" si="2"/>
        <v>Amber</v>
      </c>
      <c r="B65" s="6" t="s">
        <v>7</v>
      </c>
      <c r="C65" s="7">
        <v>83</v>
      </c>
      <c r="D65" s="8">
        <v>0.53333333333333333</v>
      </c>
      <c r="E65" s="9">
        <v>55.7</v>
      </c>
      <c r="F65" s="7">
        <v>21</v>
      </c>
      <c r="G65" s="7">
        <v>1</v>
      </c>
      <c r="H65" s="7">
        <v>641655</v>
      </c>
      <c r="I65" s="18" t="e">
        <f t="shared" si="0"/>
        <v>#N/A</v>
      </c>
      <c r="J65" s="18">
        <f t="shared" si="1"/>
        <v>83</v>
      </c>
      <c r="K65" s="16"/>
      <c r="L65" s="16"/>
      <c r="M65" s="16"/>
      <c r="N65" s="16"/>
      <c r="O65" s="21"/>
      <c r="P65" s="69"/>
      <c r="AF65" s="71"/>
    </row>
    <row r="66" spans="1:32" x14ac:dyDescent="0.25">
      <c r="A66" s="5" t="str">
        <f t="shared" si="2"/>
        <v>Amber</v>
      </c>
      <c r="B66" s="6" t="s">
        <v>5</v>
      </c>
      <c r="C66" s="7">
        <v>32</v>
      </c>
      <c r="D66" s="8">
        <v>0.54166666666666663</v>
      </c>
      <c r="E66" s="9">
        <v>55.83</v>
      </c>
      <c r="F66" s="7">
        <v>30</v>
      </c>
      <c r="G66" s="7">
        <v>46</v>
      </c>
      <c r="H66" s="7">
        <v>641655</v>
      </c>
      <c r="I66" s="18" t="e">
        <f t="shared" ref="I66:I78" si="7">IF(C66&gt;$M$1,C66,NA())</f>
        <v>#N/A</v>
      </c>
      <c r="J66" s="18">
        <f t="shared" ref="J66:J78" si="8">IF(C66&lt;=$M$1,C66,NA())</f>
        <v>32</v>
      </c>
      <c r="K66" s="16"/>
      <c r="L66" s="16"/>
      <c r="M66" s="16"/>
      <c r="N66" s="16"/>
      <c r="O66" s="21"/>
      <c r="P66" s="69"/>
      <c r="AF66" s="71"/>
    </row>
    <row r="67" spans="1:32" x14ac:dyDescent="0.25">
      <c r="A67" s="5" t="str">
        <f t="shared" ref="A67:A78" si="9">IF(C67&gt;$M$1,$L$5,$L$6)</f>
        <v>Amber</v>
      </c>
      <c r="B67" s="6" t="s">
        <v>5</v>
      </c>
      <c r="C67" s="7">
        <v>1</v>
      </c>
      <c r="D67" s="8">
        <v>0.55833333333333335</v>
      </c>
      <c r="E67" s="9">
        <v>56.93</v>
      </c>
      <c r="F67" s="7">
        <v>30</v>
      </c>
      <c r="G67" s="7">
        <v>34</v>
      </c>
      <c r="H67" s="7">
        <v>641655</v>
      </c>
      <c r="I67" s="18" t="e">
        <f t="shared" si="7"/>
        <v>#N/A</v>
      </c>
      <c r="J67" s="18">
        <f t="shared" si="8"/>
        <v>1</v>
      </c>
      <c r="K67" s="16"/>
      <c r="L67" s="16"/>
      <c r="M67" s="16"/>
      <c r="N67" s="16"/>
      <c r="O67" s="21"/>
      <c r="P67" s="69"/>
      <c r="AF67" s="71"/>
    </row>
    <row r="68" spans="1:32" x14ac:dyDescent="0.25">
      <c r="A68" s="5" t="str">
        <f t="shared" si="9"/>
        <v>Amber</v>
      </c>
      <c r="B68" s="10" t="s">
        <v>9</v>
      </c>
      <c r="C68" s="7">
        <v>52</v>
      </c>
      <c r="D68" s="8">
        <v>0.55833333333333335</v>
      </c>
      <c r="E68" s="9">
        <v>57.32</v>
      </c>
      <c r="F68" s="7" t="s">
        <v>18</v>
      </c>
      <c r="G68" s="7">
        <v>33</v>
      </c>
      <c r="H68" s="7">
        <v>641655</v>
      </c>
      <c r="I68" s="18" t="e">
        <f t="shared" si="7"/>
        <v>#N/A</v>
      </c>
      <c r="J68" s="18">
        <f t="shared" si="8"/>
        <v>52</v>
      </c>
      <c r="K68" s="16"/>
      <c r="L68" s="16"/>
      <c r="M68" s="16"/>
      <c r="N68" s="16"/>
      <c r="O68" s="21"/>
      <c r="P68" s="69"/>
      <c r="AF68" s="71"/>
    </row>
    <row r="69" spans="1:32" x14ac:dyDescent="0.25">
      <c r="A69" s="5" t="str">
        <f t="shared" si="9"/>
        <v>Amber</v>
      </c>
      <c r="B69" s="10" t="s">
        <v>9</v>
      </c>
      <c r="C69" s="7">
        <v>73</v>
      </c>
      <c r="D69" s="8">
        <v>0.55972222222222223</v>
      </c>
      <c r="E69" s="9">
        <v>58.37</v>
      </c>
      <c r="F69" s="7" t="s">
        <v>18</v>
      </c>
      <c r="G69" s="7">
        <v>56</v>
      </c>
      <c r="H69" s="7">
        <v>638459</v>
      </c>
      <c r="I69" s="18" t="e">
        <f t="shared" si="7"/>
        <v>#N/A</v>
      </c>
      <c r="J69" s="18">
        <f t="shared" si="8"/>
        <v>73</v>
      </c>
      <c r="K69" s="16"/>
      <c r="L69" s="16"/>
      <c r="M69" s="16"/>
      <c r="N69" s="16"/>
      <c r="O69" s="21"/>
      <c r="P69" s="69"/>
      <c r="AF69" s="71"/>
    </row>
    <row r="70" spans="1:32" x14ac:dyDescent="0.25">
      <c r="A70" s="5" t="str">
        <f t="shared" si="9"/>
        <v>Red</v>
      </c>
      <c r="B70" s="6" t="s">
        <v>5</v>
      </c>
      <c r="C70" s="7">
        <v>97</v>
      </c>
      <c r="D70" s="8">
        <v>0.56041666666666667</v>
      </c>
      <c r="E70" s="9">
        <v>58.4</v>
      </c>
      <c r="F70" s="7">
        <v>50</v>
      </c>
      <c r="G70" s="7">
        <v>100</v>
      </c>
      <c r="H70" s="7">
        <v>638459</v>
      </c>
      <c r="I70" s="18">
        <f t="shared" si="7"/>
        <v>97</v>
      </c>
      <c r="J70" s="18" t="e">
        <f t="shared" si="8"/>
        <v>#N/A</v>
      </c>
      <c r="K70" s="16"/>
      <c r="L70" s="16"/>
      <c r="M70" s="16"/>
      <c r="N70" s="16"/>
      <c r="O70" s="21"/>
      <c r="P70" s="69"/>
      <c r="AF70" s="71"/>
    </row>
    <row r="71" spans="1:32" x14ac:dyDescent="0.25">
      <c r="A71" s="5" t="str">
        <f t="shared" si="9"/>
        <v>Amber</v>
      </c>
      <c r="B71" s="10" t="s">
        <v>9</v>
      </c>
      <c r="C71" s="7">
        <v>73</v>
      </c>
      <c r="D71" s="8">
        <v>0.56041666666666667</v>
      </c>
      <c r="E71" s="9">
        <v>58.77</v>
      </c>
      <c r="F71" s="7" t="s">
        <v>18</v>
      </c>
      <c r="G71" s="7">
        <v>42</v>
      </c>
      <c r="H71" s="7">
        <v>638459</v>
      </c>
      <c r="I71" s="18" t="e">
        <f t="shared" si="7"/>
        <v>#N/A</v>
      </c>
      <c r="J71" s="18">
        <f t="shared" si="8"/>
        <v>73</v>
      </c>
      <c r="K71" s="16"/>
      <c r="L71" s="16"/>
      <c r="M71" s="16"/>
      <c r="N71" s="16"/>
      <c r="O71" s="21"/>
      <c r="P71" s="69"/>
      <c r="AF71" s="71"/>
    </row>
    <row r="72" spans="1:32" x14ac:dyDescent="0.25">
      <c r="A72" s="5" t="str">
        <f t="shared" si="9"/>
        <v>Amber</v>
      </c>
      <c r="B72" s="6" t="s">
        <v>5</v>
      </c>
      <c r="C72" s="7">
        <v>52</v>
      </c>
      <c r="D72" s="8">
        <v>0.56180555555555556</v>
      </c>
      <c r="E72" s="9">
        <v>60.5</v>
      </c>
      <c r="F72" s="7">
        <v>50</v>
      </c>
      <c r="G72" s="7">
        <v>64</v>
      </c>
      <c r="H72" s="7">
        <v>638459</v>
      </c>
      <c r="I72" s="18" t="e">
        <f t="shared" si="7"/>
        <v>#N/A</v>
      </c>
      <c r="J72" s="18">
        <f t="shared" si="8"/>
        <v>52</v>
      </c>
      <c r="K72" s="16"/>
      <c r="L72" s="16"/>
      <c r="M72" s="16"/>
      <c r="N72" s="16"/>
      <c r="O72" s="21"/>
      <c r="P72" s="69"/>
      <c r="AF72" s="71"/>
    </row>
    <row r="73" spans="1:32" x14ac:dyDescent="0.25">
      <c r="A73" s="5" t="str">
        <f t="shared" si="9"/>
        <v>Amber</v>
      </c>
      <c r="B73" s="10" t="s">
        <v>9</v>
      </c>
      <c r="C73" s="7">
        <v>59</v>
      </c>
      <c r="D73" s="8">
        <v>0.56180555555555556</v>
      </c>
      <c r="E73" s="9">
        <v>60.52</v>
      </c>
      <c r="F73" s="7" t="s">
        <v>18</v>
      </c>
      <c r="G73" s="7">
        <v>56</v>
      </c>
      <c r="H73" s="7">
        <v>638459</v>
      </c>
      <c r="I73" s="18" t="e">
        <f t="shared" si="7"/>
        <v>#N/A</v>
      </c>
      <c r="J73" s="18">
        <f t="shared" si="8"/>
        <v>59</v>
      </c>
      <c r="K73" s="16"/>
      <c r="L73" s="16"/>
      <c r="M73" s="16"/>
      <c r="N73" s="16"/>
      <c r="O73" s="21"/>
      <c r="P73" s="69"/>
      <c r="AF73" s="71"/>
    </row>
    <row r="74" spans="1:32" x14ac:dyDescent="0.25">
      <c r="A74" s="5" t="str">
        <f t="shared" si="9"/>
        <v>Red</v>
      </c>
      <c r="B74" s="6" t="s">
        <v>7</v>
      </c>
      <c r="C74" s="7">
        <v>94</v>
      </c>
      <c r="D74" s="8">
        <v>0.5625</v>
      </c>
      <c r="E74" s="9">
        <v>60.77</v>
      </c>
      <c r="F74" s="7">
        <v>39</v>
      </c>
      <c r="G74" s="7">
        <v>26</v>
      </c>
      <c r="H74" s="7">
        <v>638459</v>
      </c>
      <c r="I74" s="18">
        <f t="shared" si="7"/>
        <v>94</v>
      </c>
      <c r="J74" s="18" t="e">
        <f t="shared" si="8"/>
        <v>#N/A</v>
      </c>
      <c r="K74" s="16"/>
      <c r="L74" s="16"/>
      <c r="M74" s="16"/>
      <c r="N74" s="16"/>
      <c r="O74" s="21"/>
      <c r="P74" s="69"/>
      <c r="AF74" s="71"/>
    </row>
    <row r="75" spans="1:32" x14ac:dyDescent="0.25">
      <c r="A75" s="5" t="str">
        <f t="shared" si="9"/>
        <v>Amber</v>
      </c>
      <c r="B75" s="6" t="s">
        <v>7</v>
      </c>
      <c r="C75" s="7">
        <v>36</v>
      </c>
      <c r="D75" s="8">
        <v>0.5625</v>
      </c>
      <c r="E75" s="9">
        <v>60.82</v>
      </c>
      <c r="F75" s="7">
        <v>27</v>
      </c>
      <c r="G75" s="7">
        <v>14</v>
      </c>
      <c r="H75" s="7">
        <v>638459</v>
      </c>
      <c r="I75" s="18" t="e">
        <f t="shared" si="7"/>
        <v>#N/A</v>
      </c>
      <c r="J75" s="18">
        <f t="shared" si="8"/>
        <v>36</v>
      </c>
      <c r="K75" s="16"/>
      <c r="L75" s="16"/>
      <c r="M75" s="16"/>
      <c r="N75" s="16"/>
      <c r="O75" s="21"/>
      <c r="P75" s="69"/>
      <c r="AF75" s="71"/>
    </row>
    <row r="76" spans="1:32" x14ac:dyDescent="0.25">
      <c r="A76" s="5" t="str">
        <f t="shared" si="9"/>
        <v>Amber</v>
      </c>
      <c r="B76" s="10" t="s">
        <v>9</v>
      </c>
      <c r="C76" s="7">
        <v>52</v>
      </c>
      <c r="D76" s="8">
        <v>0.5625</v>
      </c>
      <c r="E76" s="9">
        <v>60.96</v>
      </c>
      <c r="F76" s="7" t="s">
        <v>18</v>
      </c>
      <c r="G76" s="7">
        <v>42</v>
      </c>
      <c r="H76" s="7">
        <v>638459</v>
      </c>
      <c r="I76" s="18" t="e">
        <f t="shared" si="7"/>
        <v>#N/A</v>
      </c>
      <c r="J76" s="18">
        <f t="shared" si="8"/>
        <v>52</v>
      </c>
      <c r="K76" s="16"/>
      <c r="L76" s="16"/>
      <c r="M76" s="16"/>
      <c r="N76" s="16"/>
      <c r="O76" s="21"/>
      <c r="P76" s="69"/>
      <c r="AF76" s="71"/>
    </row>
    <row r="77" spans="1:32" x14ac:dyDescent="0.25">
      <c r="A77" s="5" t="str">
        <f t="shared" si="9"/>
        <v>Amber</v>
      </c>
      <c r="B77" s="10" t="s">
        <v>9</v>
      </c>
      <c r="C77" s="7">
        <v>69</v>
      </c>
      <c r="D77" s="8">
        <v>0.5625</v>
      </c>
      <c r="E77" s="9">
        <v>61.14</v>
      </c>
      <c r="F77" s="7" t="s">
        <v>18</v>
      </c>
      <c r="G77" s="7">
        <v>39</v>
      </c>
      <c r="H77" s="7">
        <v>638459</v>
      </c>
      <c r="I77" s="18" t="e">
        <f t="shared" si="7"/>
        <v>#N/A</v>
      </c>
      <c r="J77" s="18">
        <f t="shared" si="8"/>
        <v>69</v>
      </c>
      <c r="K77" s="16"/>
      <c r="L77" s="16"/>
      <c r="M77" s="16"/>
      <c r="N77" s="16"/>
      <c r="O77" s="21"/>
      <c r="P77" s="69"/>
      <c r="AF77" s="71"/>
    </row>
    <row r="78" spans="1:32" x14ac:dyDescent="0.25">
      <c r="A78" s="5" t="str">
        <f t="shared" si="9"/>
        <v>Amber</v>
      </c>
      <c r="B78" s="10" t="s">
        <v>11</v>
      </c>
      <c r="C78" s="7">
        <v>59</v>
      </c>
      <c r="D78" s="8">
        <v>0.56527777777777777</v>
      </c>
      <c r="E78" s="9">
        <v>62.63</v>
      </c>
      <c r="F78" s="7" t="s">
        <v>18</v>
      </c>
      <c r="G78" s="7">
        <v>17</v>
      </c>
      <c r="H78" s="7">
        <v>638459</v>
      </c>
      <c r="I78" s="18" t="e">
        <f t="shared" si="7"/>
        <v>#N/A</v>
      </c>
      <c r="J78" s="18">
        <f t="shared" si="8"/>
        <v>59</v>
      </c>
      <c r="K78" s="16"/>
      <c r="L78" s="16"/>
      <c r="M78" s="16"/>
      <c r="N78" s="16"/>
      <c r="O78" s="21"/>
      <c r="P78" s="69"/>
      <c r="AF78" s="71"/>
    </row>
  </sheetData>
  <autoFilter ref="A1:J78" xr:uid="{35EBC46D-CFCE-4F10-80AA-E3C6AB366073}"/>
  <conditionalFormatting sqref="A2:A78">
    <cfRule type="cellIs" dxfId="49" priority="14" operator="equal">
      <formula>"Red"</formula>
    </cfRule>
    <cfRule type="cellIs" dxfId="48" priority="15" operator="equal">
      <formula>"Amber"</formula>
    </cfRule>
    <cfRule type="cellIs" priority="16" operator="equal">
      <formula>"Amber"</formula>
    </cfRule>
    <cfRule type="cellIs" dxfId="47" priority="17" operator="equal">
      <formula>"Amber"</formula>
    </cfRule>
    <cfRule type="cellIs" dxfId="46" priority="18" operator="equal">
      <formula>"Blue"</formula>
    </cfRule>
  </conditionalFormatting>
  <conditionalFormatting sqref="R2:S9">
    <cfRule type="cellIs" dxfId="45" priority="9" operator="equal">
      <formula>"Red"</formula>
    </cfRule>
    <cfRule type="cellIs" dxfId="44" priority="10" operator="equal">
      <formula>"Amber"</formula>
    </cfRule>
    <cfRule type="cellIs" priority="11" operator="equal">
      <formula>"Amber"</formula>
    </cfRule>
    <cfRule type="cellIs" dxfId="43" priority="12" operator="equal">
      <formula>"Amber"</formula>
    </cfRule>
    <cfRule type="cellIs" dxfId="42" priority="13" operator="equal">
      <formula>"Blue"</formula>
    </cfRule>
  </conditionalFormatting>
  <conditionalFormatting sqref="U21:U28">
    <cfRule type="cellIs" dxfId="41" priority="1" operator="equal">
      <formula>"Red"</formula>
    </cfRule>
    <cfRule type="cellIs" dxfId="40" priority="2" operator="equal">
      <formula>"Amber"</formula>
    </cfRule>
    <cfRule type="cellIs" priority="3" operator="equal">
      <formula>"Amber"</formula>
    </cfRule>
    <cfRule type="cellIs" dxfId="39" priority="4" operator="equal">
      <formula>"Amber"</formula>
    </cfRule>
    <cfRule type="cellIs" dxfId="38" priority="5" operator="equal">
      <formula>"Blue"</formula>
    </cfRule>
  </conditionalFormatting>
  <dataValidations count="1">
    <dataValidation type="list" allowBlank="1" showInputMessage="1" showErrorMessage="1" sqref="R14" xr:uid="{497685C9-8984-433A-B450-F408F466AD92}">
      <formula1>$R$2:$R$9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0AD0-7CCA-4B55-8C28-676FEF4AFFC7}">
  <sheetPr codeName="Sheet3"/>
  <dimension ref="B40:O78"/>
  <sheetViews>
    <sheetView showGridLines="0" showRowColHeaders="0" tabSelected="1" zoomScaleNormal="100" workbookViewId="0">
      <selection activeCell="A34" sqref="A34"/>
    </sheetView>
  </sheetViews>
  <sheetFormatPr defaultRowHeight="15" x14ac:dyDescent="0.25"/>
  <cols>
    <col min="1" max="1" width="7.28515625" customWidth="1"/>
    <col min="2" max="11" width="11.85546875" customWidth="1"/>
    <col min="12" max="16" width="19.140625" customWidth="1"/>
    <col min="17" max="19" width="10.140625" customWidth="1"/>
  </cols>
  <sheetData>
    <row r="40" spans="2:10" x14ac:dyDescent="0.25">
      <c r="B40" s="89" t="s">
        <v>63</v>
      </c>
      <c r="C40" s="90"/>
      <c r="D40" s="90"/>
      <c r="E40" s="90"/>
      <c r="F40" s="90"/>
      <c r="G40" s="90"/>
      <c r="H40" s="90"/>
      <c r="I40" s="90"/>
      <c r="J40" s="91"/>
    </row>
    <row r="42" spans="2:10" x14ac:dyDescent="0.25">
      <c r="B42" s="64"/>
      <c r="C42" s="65" t="s">
        <v>7</v>
      </c>
      <c r="D42" s="65" t="s">
        <v>7</v>
      </c>
      <c r="E42" s="66" t="s">
        <v>25</v>
      </c>
      <c r="F42" s="65" t="s">
        <v>5</v>
      </c>
      <c r="G42" s="66" t="s">
        <v>9</v>
      </c>
      <c r="H42" s="66" t="s">
        <v>9</v>
      </c>
      <c r="I42" s="65" t="s">
        <v>5</v>
      </c>
      <c r="J42" s="65" t="s">
        <v>7</v>
      </c>
    </row>
    <row r="43" spans="2:10" x14ac:dyDescent="0.25">
      <c r="B43" s="67" t="s">
        <v>36</v>
      </c>
      <c r="C43" s="68">
        <v>91</v>
      </c>
      <c r="D43" s="68">
        <v>94</v>
      </c>
      <c r="E43" s="68">
        <v>99</v>
      </c>
      <c r="F43" s="68" t="s">
        <v>18</v>
      </c>
      <c r="G43" s="68" t="s">
        <v>18</v>
      </c>
      <c r="H43" s="68" t="s">
        <v>18</v>
      </c>
      <c r="I43" s="68" t="s">
        <v>18</v>
      </c>
      <c r="J43" s="68" t="s">
        <v>18</v>
      </c>
    </row>
    <row r="44" spans="2:10" x14ac:dyDescent="0.25">
      <c r="B44" s="67" t="s">
        <v>37</v>
      </c>
      <c r="C44" s="68" t="s">
        <v>18</v>
      </c>
      <c r="D44" s="68" t="s">
        <v>18</v>
      </c>
      <c r="E44" s="68" t="s">
        <v>18</v>
      </c>
      <c r="F44" s="68">
        <v>100</v>
      </c>
      <c r="G44" s="68">
        <v>93</v>
      </c>
      <c r="H44" s="68">
        <v>100</v>
      </c>
      <c r="I44" s="68" t="s">
        <v>18</v>
      </c>
      <c r="J44" s="68" t="s">
        <v>18</v>
      </c>
    </row>
    <row r="45" spans="2:10" x14ac:dyDescent="0.25">
      <c r="B45" s="67" t="s">
        <v>38</v>
      </c>
      <c r="C45" s="68" t="s">
        <v>18</v>
      </c>
      <c r="D45" s="68" t="s">
        <v>18</v>
      </c>
      <c r="E45" s="68" t="s">
        <v>18</v>
      </c>
      <c r="F45" s="68" t="s">
        <v>18</v>
      </c>
      <c r="G45" s="68" t="s">
        <v>18</v>
      </c>
      <c r="H45" s="68" t="s">
        <v>18</v>
      </c>
      <c r="I45" s="68">
        <v>97</v>
      </c>
      <c r="J45" s="68">
        <v>94</v>
      </c>
    </row>
    <row r="47" spans="2:10" x14ac:dyDescent="0.25">
      <c r="B47" s="92" t="s">
        <v>59</v>
      </c>
      <c r="C47" s="92"/>
      <c r="D47" s="92"/>
      <c r="E47" s="92"/>
      <c r="F47" s="92"/>
      <c r="G47" s="92"/>
      <c r="H47" s="92"/>
      <c r="I47" s="92"/>
      <c r="J47" s="92"/>
    </row>
    <row r="49" spans="2:10" x14ac:dyDescent="0.25">
      <c r="C49" s="93" t="s">
        <v>7</v>
      </c>
      <c r="D49" s="94"/>
      <c r="E49" s="93" t="s">
        <v>25</v>
      </c>
      <c r="F49" s="94"/>
      <c r="G49" s="93" t="s">
        <v>5</v>
      </c>
      <c r="H49" s="94"/>
      <c r="I49" s="93" t="s">
        <v>9</v>
      </c>
      <c r="J49" s="94"/>
    </row>
    <row r="50" spans="2:10" x14ac:dyDescent="0.25">
      <c r="B50" s="86" t="s">
        <v>36</v>
      </c>
      <c r="C50" s="87">
        <v>2</v>
      </c>
      <c r="D50" s="88"/>
      <c r="E50" s="87">
        <v>1</v>
      </c>
      <c r="F50" s="88"/>
      <c r="G50" s="87">
        <v>0</v>
      </c>
      <c r="H50" s="88"/>
      <c r="I50" s="87">
        <v>0</v>
      </c>
      <c r="J50" s="88"/>
    </row>
    <row r="51" spans="2:10" x14ac:dyDescent="0.25">
      <c r="B51" s="86" t="s">
        <v>37</v>
      </c>
      <c r="C51" s="87">
        <v>0</v>
      </c>
      <c r="D51" s="88"/>
      <c r="E51" s="87">
        <v>0</v>
      </c>
      <c r="F51" s="88"/>
      <c r="G51" s="87">
        <v>1</v>
      </c>
      <c r="H51" s="88"/>
      <c r="I51" s="87">
        <v>2</v>
      </c>
      <c r="J51" s="88"/>
    </row>
    <row r="52" spans="2:10" x14ac:dyDescent="0.25">
      <c r="B52" s="86" t="s">
        <v>38</v>
      </c>
      <c r="C52" s="87">
        <v>1</v>
      </c>
      <c r="D52" s="88"/>
      <c r="E52" s="87">
        <v>0</v>
      </c>
      <c r="F52" s="88"/>
      <c r="G52" s="87">
        <v>1</v>
      </c>
      <c r="H52" s="88"/>
      <c r="I52" s="87">
        <v>0</v>
      </c>
      <c r="J52" s="88"/>
    </row>
    <row r="78" spans="11:15" x14ac:dyDescent="0.25">
      <c r="K78" s="85"/>
      <c r="L78" s="85"/>
      <c r="M78" s="85"/>
      <c r="N78" s="85"/>
      <c r="O78" s="85"/>
    </row>
  </sheetData>
  <mergeCells count="18">
    <mergeCell ref="C50:D50"/>
    <mergeCell ref="E50:F50"/>
    <mergeCell ref="G50:H50"/>
    <mergeCell ref="I50:J50"/>
    <mergeCell ref="C51:D51"/>
    <mergeCell ref="E51:F51"/>
    <mergeCell ref="B40:J40"/>
    <mergeCell ref="B47:J47"/>
    <mergeCell ref="C49:D49"/>
    <mergeCell ref="E49:F49"/>
    <mergeCell ref="G49:H49"/>
    <mergeCell ref="I49:J49"/>
    <mergeCell ref="G51:H51"/>
    <mergeCell ref="I51:J51"/>
    <mergeCell ref="C52:D52"/>
    <mergeCell ref="E52:F52"/>
    <mergeCell ref="G52:H52"/>
    <mergeCell ref="I52:J52"/>
  </mergeCells>
  <conditionalFormatting sqref="C43:J45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73" r:id="rId4" name="HideAll">
          <controlPr defaultSize="0" autoLine="0" r:id="rId5">
            <anchor moveWithCells="1">
              <from>
                <xdr:col>0</xdr:col>
                <xdr:colOff>247650</xdr:colOff>
                <xdr:row>21</xdr:row>
                <xdr:rowOff>85725</xdr:rowOff>
              </from>
              <to>
                <xdr:col>9</xdr:col>
                <xdr:colOff>762000</xdr:colOff>
                <xdr:row>38</xdr:row>
                <xdr:rowOff>28575</xdr:rowOff>
              </to>
            </anchor>
          </controlPr>
        </control>
      </mc:Choice>
      <mc:Fallback>
        <control shapeId="19473" r:id="rId4" name="HideAll"/>
      </mc:Fallback>
    </mc:AlternateContent>
    <mc:AlternateContent xmlns:mc="http://schemas.openxmlformats.org/markup-compatibility/2006">
      <mc:Choice Requires="x14">
        <control shapeId="19472" r:id="rId6" name="L2">
          <controlPr defaultSize="0" autoLine="0" autoPict="0" r:id="rId7">
            <anchor moveWithCells="1">
              <from>
                <xdr:col>2</xdr:col>
                <xdr:colOff>619125</xdr:colOff>
                <xdr:row>30</xdr:row>
                <xdr:rowOff>85725</xdr:rowOff>
              </from>
              <to>
                <xdr:col>3</xdr:col>
                <xdr:colOff>295275</xdr:colOff>
                <xdr:row>32</xdr:row>
                <xdr:rowOff>161925</xdr:rowOff>
              </to>
            </anchor>
          </controlPr>
        </control>
      </mc:Choice>
      <mc:Fallback>
        <control shapeId="19472" r:id="rId6" name="L2"/>
      </mc:Fallback>
    </mc:AlternateContent>
    <mc:AlternateContent xmlns:mc="http://schemas.openxmlformats.org/markup-compatibility/2006">
      <mc:Choice Requires="x14">
        <control shapeId="19471" r:id="rId8" name="L3">
          <controlPr defaultSize="0" autoLine="0" autoPict="0" r:id="rId9">
            <anchor moveWithCells="1">
              <from>
                <xdr:col>3</xdr:col>
                <xdr:colOff>333375</xdr:colOff>
                <xdr:row>25</xdr:row>
                <xdr:rowOff>28575</xdr:rowOff>
              </from>
              <to>
                <xdr:col>4</xdr:col>
                <xdr:colOff>76200</xdr:colOff>
                <xdr:row>28</xdr:row>
                <xdr:rowOff>19050</xdr:rowOff>
              </to>
            </anchor>
          </controlPr>
        </control>
      </mc:Choice>
      <mc:Fallback>
        <control shapeId="19471" r:id="rId8" name="L3"/>
      </mc:Fallback>
    </mc:AlternateContent>
    <mc:AlternateContent xmlns:mc="http://schemas.openxmlformats.org/markup-compatibility/2006">
      <mc:Choice Requires="x14">
        <control shapeId="19470" r:id="rId10" name="L4">
          <controlPr defaultSize="0" autoLine="0" autoPict="0" r:id="rId11">
            <anchor moveWithCells="1">
              <from>
                <xdr:col>4</xdr:col>
                <xdr:colOff>38100</xdr:colOff>
                <xdr:row>23</xdr:row>
                <xdr:rowOff>190500</xdr:rowOff>
              </from>
              <to>
                <xdr:col>4</xdr:col>
                <xdr:colOff>657225</xdr:colOff>
                <xdr:row>27</xdr:row>
                <xdr:rowOff>66675</xdr:rowOff>
              </to>
            </anchor>
          </controlPr>
        </control>
      </mc:Choice>
      <mc:Fallback>
        <control shapeId="19470" r:id="rId10" name="L4"/>
      </mc:Fallback>
    </mc:AlternateContent>
    <mc:AlternateContent xmlns:mc="http://schemas.openxmlformats.org/markup-compatibility/2006">
      <mc:Choice Requires="x14">
        <control shapeId="19469" r:id="rId12" name="L5">
          <controlPr defaultSize="0" autoLine="0" autoPict="0" r:id="rId13">
            <anchor moveWithCells="1">
              <from>
                <xdr:col>4</xdr:col>
                <xdr:colOff>695325</xdr:colOff>
                <xdr:row>31</xdr:row>
                <xdr:rowOff>142875</xdr:rowOff>
              </from>
              <to>
                <xdr:col>5</xdr:col>
                <xdr:colOff>257175</xdr:colOff>
                <xdr:row>33</xdr:row>
                <xdr:rowOff>85725</xdr:rowOff>
              </to>
            </anchor>
          </controlPr>
        </control>
      </mc:Choice>
      <mc:Fallback>
        <control shapeId="19469" r:id="rId12" name="L5"/>
      </mc:Fallback>
    </mc:AlternateContent>
    <mc:AlternateContent xmlns:mc="http://schemas.openxmlformats.org/markup-compatibility/2006">
      <mc:Choice Requires="x14">
        <control shapeId="19468" r:id="rId14" name="L6">
          <controlPr defaultSize="0" autoLine="0" autoPict="0" r:id="rId15">
            <anchor moveWithCells="1">
              <from>
                <xdr:col>5</xdr:col>
                <xdr:colOff>304800</xdr:colOff>
                <xdr:row>24</xdr:row>
                <xdr:rowOff>28575</xdr:rowOff>
              </from>
              <to>
                <xdr:col>6</xdr:col>
                <xdr:colOff>114300</xdr:colOff>
                <xdr:row>27</xdr:row>
                <xdr:rowOff>47625</xdr:rowOff>
              </to>
            </anchor>
          </controlPr>
        </control>
      </mc:Choice>
      <mc:Fallback>
        <control shapeId="19468" r:id="rId14" name="L6"/>
      </mc:Fallback>
    </mc:AlternateContent>
    <mc:AlternateContent xmlns:mc="http://schemas.openxmlformats.org/markup-compatibility/2006">
      <mc:Choice Requires="x14">
        <control shapeId="19467" r:id="rId16" name="L7">
          <controlPr defaultSize="0" autoLine="0" r:id="rId17">
            <anchor moveWithCells="1">
              <from>
                <xdr:col>6</xdr:col>
                <xdr:colOff>171450</xdr:colOff>
                <xdr:row>27</xdr:row>
                <xdr:rowOff>142875</xdr:rowOff>
              </from>
              <to>
                <xdr:col>6</xdr:col>
                <xdr:colOff>514350</xdr:colOff>
                <xdr:row>29</xdr:row>
                <xdr:rowOff>104775</xdr:rowOff>
              </to>
            </anchor>
          </controlPr>
        </control>
      </mc:Choice>
      <mc:Fallback>
        <control shapeId="19467" r:id="rId16" name="L7"/>
      </mc:Fallback>
    </mc:AlternateContent>
    <mc:AlternateContent xmlns:mc="http://schemas.openxmlformats.org/markup-compatibility/2006">
      <mc:Choice Requires="x14">
        <control shapeId="19466" r:id="rId18" name="L8">
          <controlPr defaultSize="0" autoLine="0" r:id="rId19">
            <anchor moveWithCells="1">
              <from>
                <xdr:col>6</xdr:col>
                <xdr:colOff>514350</xdr:colOff>
                <xdr:row>29</xdr:row>
                <xdr:rowOff>142875</xdr:rowOff>
              </from>
              <to>
                <xdr:col>7</xdr:col>
                <xdr:colOff>419100</xdr:colOff>
                <xdr:row>33</xdr:row>
                <xdr:rowOff>85725</xdr:rowOff>
              </to>
            </anchor>
          </controlPr>
        </control>
      </mc:Choice>
      <mc:Fallback>
        <control shapeId="19466" r:id="rId18" name="L8"/>
      </mc:Fallback>
    </mc:AlternateContent>
    <mc:AlternateContent xmlns:mc="http://schemas.openxmlformats.org/markup-compatibility/2006">
      <mc:Choice Requires="x14">
        <control shapeId="19465" r:id="rId20" name="L1">
          <controlPr defaultSize="0" autoLine="0" autoPict="0" r:id="rId21">
            <anchor moveWithCells="1">
              <from>
                <xdr:col>2</xdr:col>
                <xdr:colOff>228600</xdr:colOff>
                <xdr:row>34</xdr:row>
                <xdr:rowOff>38100</xdr:rowOff>
              </from>
              <to>
                <xdr:col>2</xdr:col>
                <xdr:colOff>428625</xdr:colOff>
                <xdr:row>35</xdr:row>
                <xdr:rowOff>9525</xdr:rowOff>
              </to>
            </anchor>
          </controlPr>
        </control>
      </mc:Choice>
      <mc:Fallback>
        <control shapeId="19465" r:id="rId20" name="L1"/>
      </mc:Fallback>
    </mc:AlternateContent>
    <mc:AlternateContent xmlns:mc="http://schemas.openxmlformats.org/markup-compatibility/2006">
      <mc:Choice Requires="x14">
        <control shapeId="19474" r:id="rId22" name="LL1">
          <controlPr defaultSize="0" autoLine="0" r:id="rId23">
            <anchor moveWithCells="1">
              <from>
                <xdr:col>2</xdr:col>
                <xdr:colOff>0</xdr:colOff>
                <xdr:row>42</xdr:row>
                <xdr:rowOff>0</xdr:rowOff>
              </from>
              <to>
                <xdr:col>2</xdr:col>
                <xdr:colOff>781050</xdr:colOff>
                <xdr:row>42</xdr:row>
                <xdr:rowOff>180975</xdr:rowOff>
              </to>
            </anchor>
          </controlPr>
        </control>
      </mc:Choice>
      <mc:Fallback>
        <control shapeId="19474" r:id="rId22" name="LL1"/>
      </mc:Fallback>
    </mc:AlternateContent>
    <mc:AlternateContent xmlns:mc="http://schemas.openxmlformats.org/markup-compatibility/2006">
      <mc:Choice Requires="x14">
        <control shapeId="19475" r:id="rId24" name="LL2">
          <controlPr defaultSize="0" autoLine="0" r:id="rId23">
            <anchor moveWithCells="1">
              <from>
                <xdr:col>3</xdr:col>
                <xdr:colOff>0</xdr:colOff>
                <xdr:row>42</xdr:row>
                <xdr:rowOff>9525</xdr:rowOff>
              </from>
              <to>
                <xdr:col>3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5" r:id="rId24" name="LL2"/>
      </mc:Fallback>
    </mc:AlternateContent>
    <mc:AlternateContent xmlns:mc="http://schemas.openxmlformats.org/markup-compatibility/2006">
      <mc:Choice Requires="x14">
        <control shapeId="19476" r:id="rId25" name="LL3">
          <controlPr defaultSize="0" autoLine="0" r:id="rId23">
            <anchor moveWithCells="1">
              <from>
                <xdr:col>4</xdr:col>
                <xdr:colOff>0</xdr:colOff>
                <xdr:row>42</xdr:row>
                <xdr:rowOff>9525</xdr:rowOff>
              </from>
              <to>
                <xdr:col>4</xdr:col>
                <xdr:colOff>781050</xdr:colOff>
                <xdr:row>43</xdr:row>
                <xdr:rowOff>0</xdr:rowOff>
              </to>
            </anchor>
          </controlPr>
        </control>
      </mc:Choice>
      <mc:Fallback>
        <control shapeId="19476" r:id="rId25" name="LL3"/>
      </mc:Fallback>
    </mc:AlternateContent>
    <mc:AlternateContent xmlns:mc="http://schemas.openxmlformats.org/markup-compatibility/2006">
      <mc:Choice Requires="x14">
        <control shapeId="19477" r:id="rId26" name="LL4">
          <controlPr defaultSize="0" autoLine="0" r:id="rId23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7" r:id="rId26" name="LL4"/>
      </mc:Fallback>
    </mc:AlternateContent>
    <mc:AlternateContent xmlns:mc="http://schemas.openxmlformats.org/markup-compatibility/2006">
      <mc:Choice Requires="x14">
        <control shapeId="19478" r:id="rId27" name="LL5">
          <controlPr defaultSize="0" autoLine="0" r:id="rId23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781050</xdr:colOff>
                <xdr:row>43</xdr:row>
                <xdr:rowOff>180975</xdr:rowOff>
              </to>
            </anchor>
          </controlPr>
        </control>
      </mc:Choice>
      <mc:Fallback>
        <control shapeId="19478" r:id="rId27" name="LL5"/>
      </mc:Fallback>
    </mc:AlternateContent>
    <mc:AlternateContent xmlns:mc="http://schemas.openxmlformats.org/markup-compatibility/2006">
      <mc:Choice Requires="x14">
        <control shapeId="19479" r:id="rId28" name="LL6">
          <controlPr defaultSize="0" autoLine="0" r:id="rId23">
            <anchor moveWithCells="1">
              <from>
                <xdr:col>7</xdr:col>
                <xdr:colOff>0</xdr:colOff>
                <xdr:row>43</xdr:row>
                <xdr:rowOff>9525</xdr:rowOff>
              </from>
              <to>
                <xdr:col>7</xdr:col>
                <xdr:colOff>781050</xdr:colOff>
                <xdr:row>44</xdr:row>
                <xdr:rowOff>0</xdr:rowOff>
              </to>
            </anchor>
          </controlPr>
        </control>
      </mc:Choice>
      <mc:Fallback>
        <control shapeId="19479" r:id="rId28" name="LL6"/>
      </mc:Fallback>
    </mc:AlternateContent>
    <mc:AlternateContent xmlns:mc="http://schemas.openxmlformats.org/markup-compatibility/2006">
      <mc:Choice Requires="x14">
        <control shapeId="19480" r:id="rId29" name="LL7">
          <controlPr defaultSize="0" autoLine="0" r:id="rId23">
            <anchor moveWithCells="1">
              <from>
                <xdr:col>8</xdr:col>
                <xdr:colOff>9525</xdr:colOff>
                <xdr:row>44</xdr:row>
                <xdr:rowOff>9525</xdr:rowOff>
              </from>
              <to>
                <xdr:col>9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0" r:id="rId29" name="LL7"/>
      </mc:Fallback>
    </mc:AlternateContent>
    <mc:AlternateContent xmlns:mc="http://schemas.openxmlformats.org/markup-compatibility/2006">
      <mc:Choice Requires="x14">
        <control shapeId="19481" r:id="rId30" name="LL8">
          <controlPr defaultSize="0" autoLine="0" r:id="rId23">
            <anchor moveWithCells="1">
              <from>
                <xdr:col>9</xdr:col>
                <xdr:colOff>9525</xdr:colOff>
                <xdr:row>44</xdr:row>
                <xdr:rowOff>9525</xdr:rowOff>
              </from>
              <to>
                <xdr:col>10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19481" r:id="rId30" name="LL8"/>
      </mc:Fallback>
    </mc:AlternateContent>
    <mc:AlternateContent xmlns:mc="http://schemas.openxmlformats.org/markup-compatibility/2006">
      <mc:Choice Requires="x14">
        <control shapeId="19482" r:id="rId31" name="HideAll_1">
          <controlPr defaultSize="0" autoLine="0" r:id="rId32">
            <anchor moveWithCells="1">
              <from>
                <xdr:col>0</xdr:col>
                <xdr:colOff>76200</xdr:colOff>
                <xdr:row>38</xdr:row>
                <xdr:rowOff>142875</xdr:rowOff>
              </from>
              <to>
                <xdr:col>10</xdr:col>
                <xdr:colOff>400050</xdr:colOff>
                <xdr:row>47</xdr:row>
                <xdr:rowOff>180975</xdr:rowOff>
              </to>
            </anchor>
          </controlPr>
        </control>
      </mc:Choice>
      <mc:Fallback>
        <control shapeId="19482" r:id="rId31" name="HideAll_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All table</vt:lpstr>
      <vt:lpstr>Single Ride 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2023-02-09T09:03:29Z</dcterms:modified>
</cp:coreProperties>
</file>