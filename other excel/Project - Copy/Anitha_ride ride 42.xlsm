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1484\Desktop\Project - Copy\"/>
    </mc:Choice>
  </mc:AlternateContent>
  <xr:revisionPtr revIDLastSave="0" documentId="13_ncr:1_{2B982515-B0A9-4782-9666-DB09CB6554C0}" xr6:coauthVersionLast="47" xr6:coauthVersionMax="47" xr10:uidLastSave="{00000000-0000-0000-0000-000000000000}"/>
  <bookViews>
    <workbookView xWindow="-120" yWindow="-120" windowWidth="21840" windowHeight="13740" tabRatio="839" firstSheet="2" activeTab="2" xr2:uid="{00000000-000D-0000-FFFF-FFFF00000000}"/>
  </bookViews>
  <sheets>
    <sheet name="Anitha rides " sheetId="4" r:id="rId1"/>
    <sheet name="lolli chart Data" sheetId="8" r:id="rId2"/>
    <sheet name="lolli chart" sheetId="11" r:id="rId3"/>
    <sheet name="Bubble chart data" sheetId="27" r:id="rId4"/>
    <sheet name="Bubble chart " sheetId="28" r:id="rId5"/>
    <sheet name="Hover_Bubble" sheetId="29" r:id="rId6"/>
    <sheet name="Heat map data" sheetId="30" r:id="rId7"/>
    <sheet name="Heat map" sheetId="33" r:id="rId8"/>
    <sheet name="Hover_Heat" sheetId="35" r:id="rId9"/>
    <sheet name="Radar graph data" sheetId="37" r:id="rId10"/>
    <sheet name="Radar graph" sheetId="36" r:id="rId11"/>
  </sheets>
  <definedNames>
    <definedName name="_xlnm._FilterDatabase" localSheetId="0" hidden="1">'Anitha rides '!$A$1:$H$78</definedName>
    <definedName name="_xlnm._FilterDatabase" localSheetId="1" hidden="1">'lolli chart Data'!$A$1:$J$78</definedName>
    <definedName name="_xlnm._FilterDatabase" localSheetId="9" hidden="1">'Radar graph data'!$A$1:$H$1</definedName>
    <definedName name="Happy" localSheetId="8">Hover_Heat!$L$3</definedName>
    <definedName name="Happy">'Heat map'!$L$3</definedName>
    <definedName name="tooltip">Hover_Bubble!$N$1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" i="4" l="1"/>
  <c r="M14" i="30"/>
  <c r="L14" i="30"/>
  <c r="K14" i="30"/>
  <c r="J14" i="30"/>
  <c r="I14" i="30"/>
  <c r="H14" i="30"/>
  <c r="G14" i="30"/>
  <c r="F14" i="30"/>
  <c r="E14" i="30"/>
  <c r="D14" i="30"/>
  <c r="C14" i="30"/>
  <c r="B14" i="30"/>
  <c r="J14" i="27"/>
  <c r="I14" i="27"/>
  <c r="H14" i="27"/>
  <c r="G14" i="27"/>
  <c r="F14" i="27"/>
  <c r="E14" i="27"/>
  <c r="D14" i="27"/>
  <c r="C14" i="27"/>
  <c r="B14" i="27"/>
  <c r="A3" i="4"/>
  <c r="A4" i="4"/>
  <c r="A5" i="4"/>
  <c r="A6" i="4"/>
  <c r="A7" i="4"/>
  <c r="A8" i="4"/>
  <c r="A9" i="4"/>
  <c r="A10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2" i="4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3" i="8"/>
  <c r="A4" i="8"/>
  <c r="A5" i="8"/>
  <c r="A6" i="8"/>
  <c r="A7" i="8"/>
  <c r="A8" i="8"/>
  <c r="A2" i="8"/>
  <c r="O4" i="8"/>
  <c r="O2" i="8"/>
  <c r="J2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I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</calcChain>
</file>

<file path=xl/sharedStrings.xml><?xml version="1.0" encoding="utf-8"?>
<sst xmlns="http://schemas.openxmlformats.org/spreadsheetml/2006/main" count="452" uniqueCount="61">
  <si>
    <t>Distance (Km)</t>
  </si>
  <si>
    <t>SL/PS (Km/H)</t>
  </si>
  <si>
    <t>Speed</t>
  </si>
  <si>
    <t>ZipCode</t>
  </si>
  <si>
    <t>Risk Value</t>
  </si>
  <si>
    <t>Over Speed</t>
  </si>
  <si>
    <t>Mobile Use</t>
  </si>
  <si>
    <t>Sudden Braking</t>
  </si>
  <si>
    <t>Caution</t>
  </si>
  <si>
    <t>Curve</t>
  </si>
  <si>
    <t>Intersection</t>
  </si>
  <si>
    <t>Pedestrian Crossing</t>
  </si>
  <si>
    <t>School</t>
  </si>
  <si>
    <t>Amber</t>
  </si>
  <si>
    <t>Red</t>
  </si>
  <si>
    <t>Alert Severity</t>
  </si>
  <si>
    <t>Alert Name</t>
  </si>
  <si>
    <t xml:space="preserve">Time </t>
  </si>
  <si>
    <t xml:space="preserve"> - </t>
  </si>
  <si>
    <t>Risk</t>
  </si>
  <si>
    <t>Red risk</t>
  </si>
  <si>
    <t>Amber risk</t>
  </si>
  <si>
    <t>Red risk count</t>
  </si>
  <si>
    <t>Amber risk count</t>
  </si>
  <si>
    <t>Red Alert id</t>
  </si>
  <si>
    <t>Force Acceleration</t>
  </si>
  <si>
    <t>Custom Speed</t>
  </si>
  <si>
    <t>P-Speed/S-Limit</t>
  </si>
  <si>
    <t>L1</t>
  </si>
  <si>
    <t>L2</t>
  </si>
  <si>
    <t>L3</t>
  </si>
  <si>
    <t>L4</t>
  </si>
  <si>
    <t>L5</t>
  </si>
  <si>
    <t>L6</t>
  </si>
  <si>
    <t>L7</t>
  </si>
  <si>
    <t>L8</t>
  </si>
  <si>
    <t>11 - 11:59 AM</t>
  </si>
  <si>
    <t>12 - 12:59 PM</t>
  </si>
  <si>
    <t>1 - 1:59 PM</t>
  </si>
  <si>
    <t xml:space="preserve">NO OF RED ALERTS BY HOUR </t>
  </si>
  <si>
    <t>RED RISK VALUES BY HOUR</t>
  </si>
  <si>
    <t>Risk Style</t>
  </si>
  <si>
    <t>Driver State</t>
  </si>
  <si>
    <t>Driving Style</t>
  </si>
  <si>
    <t>Anticipation</t>
  </si>
  <si>
    <t>Risky</t>
  </si>
  <si>
    <t>Unknown</t>
  </si>
  <si>
    <t xml:space="preserve">Tired </t>
  </si>
  <si>
    <t>Angry</t>
  </si>
  <si>
    <t>Aggressive</t>
  </si>
  <si>
    <t>Chaotic</t>
  </si>
  <si>
    <t>RIDE 42</t>
  </si>
  <si>
    <t>63.19Kms</t>
  </si>
  <si>
    <t>Ride No</t>
  </si>
  <si>
    <t>Driving Score</t>
  </si>
  <si>
    <t>Driving Skill</t>
  </si>
  <si>
    <t>Self Confidence</t>
  </si>
  <si>
    <t>Start Time</t>
  </si>
  <si>
    <t>End Time</t>
  </si>
  <si>
    <t>Distance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</si>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</sst>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h:mm\ AM/PM;@"/>
    <numFmt numFmtId="165" formatCode="[$-F400]h:mm:ss\ AM/PM"/>
    <numFmt numFmtId="166" formatCode=";;;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1"/>
      <name val="Segoe UI"/>
      <family val="2"/>
    </font>
    <font>
      <sz val="7"/>
      <color theme="3" tint="-0.499984740745262"/>
      <name val="Segoe UI"/>
      <family val="2"/>
    </font>
    <font>
      <sz val="9"/>
      <color rgb="FF19191A"/>
      <name val="Segoe UI"/>
      <family val="2"/>
    </font>
    <font>
      <sz val="9"/>
      <color theme="1"/>
      <name val="Segoe UI"/>
      <family val="2"/>
    </font>
    <font>
      <sz val="9"/>
      <color theme="1" tint="0.14999847407452621"/>
      <name val="Segoe UI"/>
      <family val="2"/>
    </font>
    <font>
      <sz val="9"/>
      <color theme="1"/>
      <name val="Calibri"/>
      <family val="2"/>
      <scheme val="minor"/>
    </font>
    <font>
      <b/>
      <sz val="9"/>
      <color theme="1" tint="0.14999847407452621"/>
      <name val="Segoe UI"/>
      <family val="2"/>
    </font>
    <font>
      <sz val="9"/>
      <color theme="1" tint="0.1499984740745262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7"/>
      <color theme="1" tint="0.14999847407452621"/>
      <name val="Segoe UI"/>
      <family val="2"/>
    </font>
    <font>
      <sz val="19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6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1" fontId="18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 vertical="center"/>
    </xf>
    <xf numFmtId="165" fontId="18" fillId="37" borderId="10" xfId="0" applyNumberFormat="1" applyFont="1" applyFill="1" applyBorder="1" applyAlignment="1">
      <alignment horizontal="center" vertical="center"/>
    </xf>
    <xf numFmtId="49" fontId="18" fillId="37" borderId="10" xfId="0" applyNumberFormat="1" applyFont="1" applyFill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2" fontId="20" fillId="34" borderId="10" xfId="0" applyNumberFormat="1" applyFont="1" applyFill="1" applyBorder="1" applyAlignment="1">
      <alignment horizontal="center" vertical="center"/>
    </xf>
    <xf numFmtId="49" fontId="20" fillId="34" borderId="10" xfId="0" applyNumberFormat="1" applyFont="1" applyFill="1" applyBorder="1" applyAlignment="1">
      <alignment horizontal="center" vertical="center"/>
    </xf>
    <xf numFmtId="1" fontId="20" fillId="34" borderId="10" xfId="0" applyNumberFormat="1" applyFont="1" applyFill="1" applyBorder="1" applyAlignment="1">
      <alignment horizontal="center" vertical="center"/>
    </xf>
    <xf numFmtId="0" fontId="20" fillId="34" borderId="10" xfId="0" applyFont="1" applyFill="1" applyBorder="1" applyAlignment="1">
      <alignment horizontal="center" vertical="center"/>
    </xf>
    <xf numFmtId="2" fontId="21" fillId="33" borderId="10" xfId="0" applyNumberFormat="1" applyFont="1" applyFill="1" applyBorder="1" applyAlignment="1">
      <alignment horizontal="left" vertical="center"/>
    </xf>
    <xf numFmtId="49" fontId="21" fillId="0" borderId="10" xfId="0" applyNumberFormat="1" applyFont="1" applyBorder="1" applyAlignment="1">
      <alignment horizontal="left" vertical="center" wrapText="1"/>
    </xf>
    <xf numFmtId="1" fontId="21" fillId="33" borderId="10" xfId="0" applyNumberFormat="1" applyFont="1" applyFill="1" applyBorder="1" applyAlignment="1">
      <alignment horizontal="center" vertical="center"/>
    </xf>
    <xf numFmtId="164" fontId="21" fillId="33" borderId="10" xfId="0" applyNumberFormat="1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49" fontId="21" fillId="0" borderId="10" xfId="0" applyNumberFormat="1" applyFont="1" applyBorder="1" applyAlignment="1">
      <alignment horizontal="left" vertical="center"/>
    </xf>
    <xf numFmtId="2" fontId="22" fillId="33" borderId="10" xfId="0" applyNumberFormat="1" applyFont="1" applyFill="1" applyBorder="1" applyAlignment="1">
      <alignment horizontal="left" vertical="center"/>
    </xf>
    <xf numFmtId="49" fontId="22" fillId="0" borderId="10" xfId="0" applyNumberFormat="1" applyFont="1" applyBorder="1" applyAlignment="1">
      <alignment horizontal="left" vertical="center" wrapText="1"/>
    </xf>
    <xf numFmtId="1" fontId="22" fillId="33" borderId="10" xfId="0" applyNumberFormat="1" applyFont="1" applyFill="1" applyBorder="1" applyAlignment="1">
      <alignment horizontal="center" vertical="center"/>
    </xf>
    <xf numFmtId="164" fontId="22" fillId="33" borderId="10" xfId="0" applyNumberFormat="1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49" fontId="22" fillId="0" borderId="10" xfId="0" applyNumberFormat="1" applyFont="1" applyBorder="1" applyAlignment="1">
      <alignment horizontal="left" vertical="center"/>
    </xf>
    <xf numFmtId="0" fontId="23" fillId="0" borderId="0" xfId="0" applyFont="1"/>
    <xf numFmtId="0" fontId="21" fillId="34" borderId="10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/>
    </xf>
    <xf numFmtId="0" fontId="23" fillId="36" borderId="10" xfId="0" applyFont="1" applyFill="1" applyBorder="1" applyAlignment="1">
      <alignment horizontal="center" vertical="center"/>
    </xf>
    <xf numFmtId="0" fontId="23" fillId="37" borderId="1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8" borderId="10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22" fillId="34" borderId="13" xfId="0" applyNumberFormat="1" applyFont="1" applyFill="1" applyBorder="1" applyAlignment="1">
      <alignment horizontal="center" vertical="center"/>
    </xf>
    <xf numFmtId="2" fontId="22" fillId="34" borderId="14" xfId="0" applyNumberFormat="1" applyFont="1" applyFill="1" applyBorder="1" applyAlignment="1">
      <alignment horizontal="center" vertical="center"/>
    </xf>
    <xf numFmtId="49" fontId="22" fillId="34" borderId="14" xfId="0" applyNumberFormat="1" applyFont="1" applyFill="1" applyBorder="1" applyAlignment="1">
      <alignment horizontal="center" vertical="center"/>
    </xf>
    <xf numFmtId="1" fontId="22" fillId="34" borderId="14" xfId="0" applyNumberFormat="1" applyFont="1" applyFill="1" applyBorder="1" applyAlignment="1">
      <alignment horizontal="center" vertical="center"/>
    </xf>
    <xf numFmtId="165" fontId="22" fillId="34" borderId="14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1" fontId="22" fillId="34" borderId="15" xfId="0" applyNumberFormat="1" applyFont="1" applyFill="1" applyBorder="1" applyAlignment="1">
      <alignment horizontal="center" vertical="center"/>
    </xf>
    <xf numFmtId="1" fontId="22" fillId="33" borderId="11" xfId="0" applyNumberFormat="1" applyFont="1" applyFill="1" applyBorder="1" applyAlignment="1">
      <alignment horizontal="center" vertical="center"/>
    </xf>
    <xf numFmtId="165" fontId="22" fillId="33" borderId="10" xfId="0" applyNumberFormat="1" applyFont="1" applyFill="1" applyBorder="1" applyAlignment="1">
      <alignment horizontal="center" vertical="center"/>
    </xf>
    <xf numFmtId="1" fontId="22" fillId="39" borderId="10" xfId="0" applyNumberFormat="1" applyFont="1" applyFill="1" applyBorder="1" applyAlignment="1">
      <alignment horizontal="center" vertical="center"/>
    </xf>
    <xf numFmtId="1" fontId="22" fillId="33" borderId="12" xfId="0" applyNumberFormat="1" applyFont="1" applyFill="1" applyBorder="1" applyAlignment="1">
      <alignment horizontal="center" vertical="center"/>
    </xf>
    <xf numFmtId="1" fontId="22" fillId="33" borderId="16" xfId="0" applyNumberFormat="1" applyFont="1" applyFill="1" applyBorder="1" applyAlignment="1">
      <alignment horizontal="center" vertical="center"/>
    </xf>
    <xf numFmtId="2" fontId="22" fillId="33" borderId="17" xfId="0" applyNumberFormat="1" applyFont="1" applyFill="1" applyBorder="1" applyAlignment="1">
      <alignment horizontal="left" vertical="center"/>
    </xf>
    <xf numFmtId="49" fontId="22" fillId="0" borderId="17" xfId="0" applyNumberFormat="1" applyFont="1" applyBorder="1" applyAlignment="1">
      <alignment horizontal="left" vertical="center" wrapText="1"/>
    </xf>
    <xf numFmtId="1" fontId="22" fillId="33" borderId="17" xfId="0" applyNumberFormat="1" applyFont="1" applyFill="1" applyBorder="1" applyAlignment="1">
      <alignment horizontal="center" vertical="center"/>
    </xf>
    <xf numFmtId="165" fontId="22" fillId="33" borderId="17" xfId="0" applyNumberFormat="1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1" fontId="22" fillId="39" borderId="17" xfId="0" applyNumberFormat="1" applyFont="1" applyFill="1" applyBorder="1" applyAlignment="1">
      <alignment horizontal="center" vertical="center"/>
    </xf>
    <xf numFmtId="1" fontId="22" fillId="33" borderId="18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2" fontId="24" fillId="34" borderId="13" xfId="0" applyNumberFormat="1" applyFont="1" applyFill="1" applyBorder="1" applyAlignment="1">
      <alignment horizontal="center" vertical="center"/>
    </xf>
    <xf numFmtId="2" fontId="24" fillId="34" borderId="14" xfId="0" applyNumberFormat="1" applyFont="1" applyFill="1" applyBorder="1" applyAlignment="1">
      <alignment horizontal="center" vertical="center"/>
    </xf>
    <xf numFmtId="49" fontId="24" fillId="34" borderId="14" xfId="0" applyNumberFormat="1" applyFont="1" applyFill="1" applyBorder="1" applyAlignment="1">
      <alignment horizontal="center" vertical="center"/>
    </xf>
    <xf numFmtId="1" fontId="24" fillId="34" borderId="14" xfId="0" applyNumberFormat="1" applyFont="1" applyFill="1" applyBorder="1" applyAlignment="1">
      <alignment horizontal="center" vertical="center"/>
    </xf>
    <xf numFmtId="165" fontId="24" fillId="34" borderId="14" xfId="0" applyNumberFormat="1" applyFont="1" applyFill="1" applyBorder="1" applyAlignment="1">
      <alignment horizontal="center" vertical="center"/>
    </xf>
    <xf numFmtId="0" fontId="24" fillId="34" borderId="14" xfId="0" applyFont="1" applyFill="1" applyBorder="1" applyAlignment="1">
      <alignment horizontal="center" vertical="center"/>
    </xf>
    <xf numFmtId="1" fontId="24" fillId="34" borderId="15" xfId="0" applyNumberFormat="1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36" borderId="17" xfId="0" applyFont="1" applyFill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25" fillId="0" borderId="17" xfId="0" applyFont="1" applyBorder="1" applyAlignment="1">
      <alignment horizontal="center" vertical="center"/>
    </xf>
    <xf numFmtId="165" fontId="25" fillId="0" borderId="17" xfId="0" applyNumberFormat="1" applyFont="1" applyBorder="1" applyAlignment="1">
      <alignment horizontal="center" vertical="center"/>
    </xf>
    <xf numFmtId="0" fontId="25" fillId="39" borderId="17" xfId="0" applyFont="1" applyFill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" fontId="22" fillId="34" borderId="1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6" fillId="0" borderId="0" xfId="0" applyFont="1"/>
    <xf numFmtId="0" fontId="25" fillId="0" borderId="0" xfId="0" applyFont="1"/>
    <xf numFmtId="165" fontId="25" fillId="0" borderId="0" xfId="0" applyNumberFormat="1" applyFont="1"/>
    <xf numFmtId="165" fontId="26" fillId="0" borderId="0" xfId="0" applyNumberFormat="1" applyFont="1"/>
    <xf numFmtId="165" fontId="25" fillId="0" borderId="0" xfId="0" applyNumberFormat="1" applyFont="1" applyAlignment="1">
      <alignment horizontal="center"/>
    </xf>
    <xf numFmtId="1" fontId="24" fillId="34" borderId="20" xfId="0" applyNumberFormat="1" applyFont="1" applyFill="1" applyBorder="1" applyAlignment="1">
      <alignment horizontal="center" vertical="center"/>
    </xf>
    <xf numFmtId="0" fontId="25" fillId="0" borderId="17" xfId="0" applyFont="1" applyBorder="1"/>
    <xf numFmtId="0" fontId="22" fillId="0" borderId="21" xfId="0" applyFont="1" applyBorder="1" applyAlignment="1">
      <alignment horizontal="center" vertical="center"/>
    </xf>
    <xf numFmtId="0" fontId="22" fillId="0" borderId="0" xfId="0" applyFont="1"/>
    <xf numFmtId="0" fontId="27" fillId="0" borderId="0" xfId="0" applyFont="1"/>
    <xf numFmtId="49" fontId="27" fillId="41" borderId="10" xfId="0" applyNumberFormat="1" applyFont="1" applyFill="1" applyBorder="1" applyAlignment="1">
      <alignment horizontal="center" vertical="center" wrapText="1"/>
    </xf>
    <xf numFmtId="49" fontId="27" fillId="41" borderId="10" xfId="0" applyNumberFormat="1" applyFont="1" applyFill="1" applyBorder="1" applyAlignment="1">
      <alignment horizontal="center" vertical="center"/>
    </xf>
    <xf numFmtId="165" fontId="27" fillId="41" borderId="10" xfId="0" applyNumberFormat="1" applyFont="1" applyFill="1" applyBorder="1" applyAlignment="1">
      <alignment horizontal="center" vertical="center"/>
    </xf>
    <xf numFmtId="166" fontId="27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0" fillId="39" borderId="0" xfId="0" applyFill="1" applyAlignment="1">
      <alignment horizontal="center" vertical="center"/>
    </xf>
    <xf numFmtId="165" fontId="0" fillId="39" borderId="0" xfId="0" applyNumberFormat="1" applyFill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40" borderId="12" xfId="0" applyFill="1" applyBorder="1" applyAlignment="1">
      <alignment horizontal="center"/>
    </xf>
    <xf numFmtId="0" fontId="0" fillId="40" borderId="19" xfId="0" applyFill="1" applyBorder="1" applyAlignment="1">
      <alignment horizontal="center"/>
    </xf>
    <xf numFmtId="0" fontId="0" fillId="40" borderId="11" xfId="0" applyFill="1" applyBorder="1" applyAlignment="1">
      <alignment horizontal="center"/>
    </xf>
    <xf numFmtId="0" fontId="2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rgb="FFFF4747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65" formatCode="[$-F400]h:mm:ss\ AM/PM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family val="2"/>
      </font>
      <numFmt numFmtId="1" formatCode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fill>
        <patternFill patternType="solid">
          <fgColor indexed="64"/>
          <bgColor rgb="FFFF4747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Calibri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65" formatCode="[$-F400]h:mm:ss\ AM/PM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2" formatCode="0.00"/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theme="1" tint="0.14999847407452621"/>
        <family val="2"/>
      </font>
      <numFmt numFmtId="1" formatCode="0"/>
      <alignment horizontal="center" vertical="center" textRotation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 tint="0.14999847407452621"/>
        <name val="Segoe UI"/>
        <family val="2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  <dxf>
      <fill>
        <patternFill>
          <bgColor theme="4"/>
        </patternFill>
      </fill>
    </dxf>
    <dxf>
      <fill>
        <patternFill>
          <bgColor rgb="FFCC9B00"/>
        </patternFill>
      </fill>
    </dxf>
    <dxf>
      <fill>
        <patternFill>
          <bgColor theme="7"/>
        </patternFill>
      </fill>
    </dxf>
    <dxf>
      <fill>
        <patternFill>
          <bgColor rgb="FFFF4343"/>
        </patternFill>
      </fill>
    </dxf>
  </dxfs>
  <tableStyles count="0" defaultTableStyle="TableStyleMedium2" defaultPivotStyle="PivotStyleLight16"/>
  <colors>
    <mruColors>
      <color rgb="FFE4E4E4"/>
      <color rgb="FFC9C9C9"/>
      <color rgb="FFFF5D5D"/>
      <color rgb="FFFF9797"/>
      <color rgb="FFFFCD3F"/>
      <color rgb="FF1DCD8A"/>
      <color rgb="FFFFB9B9"/>
      <color rgb="FFFF5B5B"/>
      <color rgb="FFFF4F4F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800" b="1" i="1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8800" b="1" i="1" u="sng">
                <a:solidFill>
                  <a:schemeClr val="tx1">
                    <a:lumMod val="65000"/>
                    <a:lumOff val="35000"/>
                  </a:schemeClr>
                </a:solidFill>
              </a:rPr>
              <a:t>Risk</a:t>
            </a:r>
            <a:r>
              <a:rPr lang="en-US" sz="8800" b="1" i="1" u="sng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chart</a:t>
            </a:r>
          </a:p>
        </c:rich>
      </c:tx>
      <c:layout>
        <c:manualLayout>
          <c:xMode val="edge"/>
          <c:yMode val="edge"/>
          <c:x val="0.48852802709101933"/>
          <c:y val="1.266240991309498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6414469798889734E-2"/>
          <c:y val="0.10333969267057477"/>
          <c:w val="0.92656512090454124"/>
          <c:h val="0.7764997852056022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'lolli chart Data'!$I$1</c:f>
              <c:strCache>
                <c:ptCount val="1"/>
                <c:pt idx="0">
                  <c:v>Red risk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errBars>
            <c:errBarType val="minus"/>
            <c:errValType val="percentage"/>
            <c:noEndCap val="1"/>
            <c:val val="100"/>
            <c:spPr>
              <a:noFill/>
              <a:ln w="6350" cap="flat" cmpd="sng" algn="ctr">
                <a:solidFill>
                  <a:schemeClr val="bg2">
                    <a:lumMod val="90000"/>
                  </a:schemeClr>
                </a:solidFill>
                <a:round/>
              </a:ln>
              <a:effectLst/>
            </c:spPr>
          </c:errBars>
          <c:cat>
            <c:strRef>
              <c:f>'lolli chart Data'!$B$2:$B$78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'lolli chart Data'!$I$2:$I$78</c:f>
              <c:numCache>
                <c:formatCode>General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91</c:v>
                </c:pt>
                <c:pt idx="5">
                  <c:v>94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100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100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97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94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24-8455-A367CA39DB1D}"/>
            </c:ext>
          </c:extLst>
        </c:ser>
        <c:ser>
          <c:idx val="1"/>
          <c:order val="1"/>
          <c:tx>
            <c:strRef>
              <c:f>'lolli chart Data'!$J$1</c:f>
              <c:strCache>
                <c:ptCount val="1"/>
                <c:pt idx="0">
                  <c:v>Amber risk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errBars>
            <c:errBarType val="minus"/>
            <c:errValType val="percentage"/>
            <c:noEndCap val="1"/>
            <c:val val="100"/>
            <c:spPr>
              <a:noFill/>
              <a:ln w="6350" cap="flat" cmpd="sng" algn="ctr">
                <a:solidFill>
                  <a:schemeClr val="bg2">
                    <a:lumMod val="90000"/>
                  </a:schemeClr>
                </a:solidFill>
                <a:round/>
              </a:ln>
              <a:effectLst/>
            </c:spPr>
          </c:errBars>
          <c:cat>
            <c:strRef>
              <c:f>'lolli chart Data'!$B$2:$B$78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'lolli chart Data'!$J$2:$J$78</c:f>
              <c:numCache>
                <c:formatCode>General</c:formatCode>
                <c:ptCount val="77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#N/A</c:v>
                </c:pt>
                <c:pt idx="5">
                  <c:v>#N/A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#N/A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#N/A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#N/A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#N/A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#N/A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#N/A</c:v>
                </c:pt>
                <c:pt idx="73">
                  <c:v>36</c:v>
                </c:pt>
                <c:pt idx="74">
                  <c:v>52</c:v>
                </c:pt>
                <c:pt idx="75">
                  <c:v>69</c:v>
                </c:pt>
                <c:pt idx="76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07-4024-8455-A367CA39DB1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36618591"/>
        <c:axId val="1036619839"/>
      </c:barChart>
      <c:lineChart>
        <c:grouping val="standard"/>
        <c:varyColors val="0"/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dLbls>
            <c:spPr>
              <a:noFill/>
              <a:ln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'lolli chart Data'!$B$2:$B$78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'lolli chart Data'!$I$2:$I$78</c:f>
              <c:numCache>
                <c:formatCode>General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91</c:v>
                </c:pt>
                <c:pt idx="5">
                  <c:v>94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99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100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93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100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97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94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07-4024-8455-A367CA39DB1D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 w="25400">
                <a:noFill/>
              </a:ln>
              <a:effectLst/>
            </c:spPr>
          </c:marker>
          <c:dLbls>
            <c:spPr>
              <a:noFill/>
              <a:ln>
                <a:gradFill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74000">
                      <a:schemeClr val="accent1">
                        <a:lumMod val="45000"/>
                        <a:lumOff val="55000"/>
                      </a:schemeClr>
                    </a:gs>
                    <a:gs pos="83000">
                      <a:schemeClr val="accent1">
                        <a:lumMod val="45000"/>
                        <a:lumOff val="55000"/>
                      </a:schemeClr>
                    </a:gs>
                    <a:gs pos="100000">
                      <a:schemeClr val="accent1">
                        <a:lumMod val="30000"/>
                        <a:lumOff val="70000"/>
                      </a:schemeClr>
                    </a:gs>
                  </a:gsLst>
                  <a:lin ang="5400000" scaled="1"/>
                </a:gra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tx1">
                        <a:lumMod val="85000"/>
                        <a:lumOff val="1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'lolli chart Data'!$B$2:$B$78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'lolli chart Data'!$J$2:$J$78</c:f>
              <c:numCache>
                <c:formatCode>General</c:formatCode>
                <c:ptCount val="77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#N/A</c:v>
                </c:pt>
                <c:pt idx="5">
                  <c:v>#N/A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#N/A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#N/A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#N/A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#N/A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#N/A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#N/A</c:v>
                </c:pt>
                <c:pt idx="73">
                  <c:v>36</c:v>
                </c:pt>
                <c:pt idx="74">
                  <c:v>52</c:v>
                </c:pt>
                <c:pt idx="75">
                  <c:v>69</c:v>
                </c:pt>
                <c:pt idx="76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07-4024-8455-A367CA39DB1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6618591"/>
        <c:axId val="1036619839"/>
      </c:lineChart>
      <c:catAx>
        <c:axId val="1036618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300" b="1" i="0" u="none" strike="noStrike" kern="1200" baseline="0">
                <a:solidFill>
                  <a:schemeClr val="bg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619839"/>
        <c:crosses val="autoZero"/>
        <c:auto val="0"/>
        <c:lblAlgn val="ctr"/>
        <c:lblOffset val="100"/>
        <c:noMultiLvlLbl val="0"/>
      </c:catAx>
      <c:valAx>
        <c:axId val="1036619839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4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4000" b="0">
                    <a:solidFill>
                      <a:schemeClr val="tx1"/>
                    </a:solidFill>
                  </a:rPr>
                  <a:t>Risk</a:t>
                </a:r>
                <a:r>
                  <a:rPr lang="en-US" sz="4000" b="0" baseline="0">
                    <a:solidFill>
                      <a:schemeClr val="tx1"/>
                    </a:solidFill>
                  </a:rPr>
                  <a:t> Values</a:t>
                </a:r>
              </a:p>
            </c:rich>
          </c:tx>
          <c:layout>
            <c:manualLayout>
              <c:xMode val="edge"/>
              <c:yMode val="edge"/>
              <c:x val="1.0545867518308464E-2"/>
              <c:y val="0.417159170548707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66185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>
          <a:lumMod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400" b="1" i="0" u="none" strike="noStrike" kern="1200" spc="0" baseline="0">
                <a:solidFill>
                  <a:schemeClr val="bg2">
                    <a:lumMod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>
                <a:solidFill>
                  <a:schemeClr val="bg2">
                    <a:lumMod val="25000"/>
                  </a:schemeClr>
                </a:solidFill>
              </a:rPr>
              <a:t>RED</a:t>
            </a:r>
            <a:r>
              <a:rPr lang="en-US" sz="4400" b="1" baseline="0">
                <a:solidFill>
                  <a:schemeClr val="bg2">
                    <a:lumMod val="25000"/>
                  </a:schemeClr>
                </a:solidFill>
              </a:rPr>
              <a:t> RISK COUNT</a:t>
            </a:r>
            <a:endParaRPr lang="en-US" sz="4400" b="1">
              <a:solidFill>
                <a:schemeClr val="bg2">
                  <a:lumMod val="25000"/>
                </a:schemeClr>
              </a:solidFill>
            </a:endParaRPr>
          </a:p>
        </c:rich>
      </c:tx>
      <c:layout>
        <c:manualLayout>
          <c:xMode val="edge"/>
          <c:yMode val="edge"/>
          <c:x val="0.25183812738639133"/>
          <c:y val="3.017067953211051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400" b="1" i="0" u="none" strike="noStrike" kern="1200" spc="0" baseline="0">
              <a:solidFill>
                <a:schemeClr val="bg2">
                  <a:lumMod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290990486849469E-2"/>
          <c:y val="0.33383230942286063"/>
          <c:w val="0.91270285394515949"/>
          <c:h val="0.64767032967032967"/>
        </c:manualLayout>
      </c:layout>
      <c:areaChart>
        <c:grouping val="standard"/>
        <c:varyColors val="0"/>
        <c:ser>
          <c:idx val="0"/>
          <c:order val="0"/>
          <c:tx>
            <c:strRef>
              <c:f>'lolli chart Data'!$C$1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chemeClr val="accent6"/>
            </a:solidFill>
            <a:ln w="127"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cat>
            <c:strRef>
              <c:f>'lolli chart Data'!$B$2:$B$78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'lolli chart Data'!$C$2:$C$78</c:f>
              <c:numCache>
                <c:formatCode>0</c:formatCode>
                <c:ptCount val="77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  <c:pt idx="73">
                  <c:v>36</c:v>
                </c:pt>
                <c:pt idx="74">
                  <c:v>52</c:v>
                </c:pt>
                <c:pt idx="75">
                  <c:v>69</c:v>
                </c:pt>
                <c:pt idx="76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4-4041-829C-3231AE056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1369247"/>
        <c:axId val="1251380063"/>
      </c:areaChart>
      <c:catAx>
        <c:axId val="12513692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1380063"/>
        <c:crosses val="autoZero"/>
        <c:auto val="1"/>
        <c:lblAlgn val="ctr"/>
        <c:lblOffset val="100"/>
        <c:noMultiLvlLbl val="0"/>
      </c:catAx>
      <c:valAx>
        <c:axId val="1251380063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51369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7979"/>
    </a:solidFill>
    <a:ln w="952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400" b="1" i="0" u="none" strike="noStrike" kern="1200" spc="0" baseline="0">
                <a:solidFill>
                  <a:schemeClr val="bg2">
                    <a:lumMod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4400" b="1" baseline="0">
                <a:solidFill>
                  <a:schemeClr val="bg2">
                    <a:lumMod val="25000"/>
                  </a:schemeClr>
                </a:solidFill>
              </a:rPr>
              <a:t>AMBER RISK COUNT</a:t>
            </a:r>
            <a:endParaRPr lang="en-US" sz="4400" b="1">
              <a:solidFill>
                <a:schemeClr val="bg2">
                  <a:lumMod val="25000"/>
                </a:schemeClr>
              </a:solidFill>
            </a:endParaRPr>
          </a:p>
        </c:rich>
      </c:tx>
      <c:layout>
        <c:manualLayout>
          <c:xMode val="edge"/>
          <c:yMode val="edge"/>
          <c:x val="0.22070703662042243"/>
          <c:y val="2.97521690485740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400" b="1" i="0" u="none" strike="noStrike" kern="1200" spc="0" baseline="0">
              <a:solidFill>
                <a:schemeClr val="bg2">
                  <a:lumMod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290990486849469E-2"/>
          <c:y val="0.35800806606491264"/>
          <c:w val="0.91270285394515949"/>
          <c:h val="0.62349452659880933"/>
        </c:manualLayout>
      </c:layout>
      <c:areaChart>
        <c:grouping val="standard"/>
        <c:varyColors val="0"/>
        <c:ser>
          <c:idx val="0"/>
          <c:order val="0"/>
          <c:tx>
            <c:strRef>
              <c:f>'lolli chart Data'!$C$1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7979"/>
            </a:solidFill>
            <a:ln w="127"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cat>
            <c:strRef>
              <c:f>'lolli chart Data'!$B$2:$B$78</c:f>
              <c:strCache>
                <c:ptCount val="77"/>
                <c:pt idx="0">
                  <c:v>Over Speed</c:v>
                </c:pt>
                <c:pt idx="1">
                  <c:v>Mobile Use</c:v>
                </c:pt>
                <c:pt idx="2">
                  <c:v>Sudden Braking</c:v>
                </c:pt>
                <c:pt idx="3">
                  <c:v>Pedestrian Crossing</c:v>
                </c:pt>
                <c:pt idx="4">
                  <c:v>Sudden Braking</c:v>
                </c:pt>
                <c:pt idx="5">
                  <c:v>Sudden Braking</c:v>
                </c:pt>
                <c:pt idx="6">
                  <c:v>Sudden Braking</c:v>
                </c:pt>
                <c:pt idx="7">
                  <c:v>Pedestrian Crossing</c:v>
                </c:pt>
                <c:pt idx="8">
                  <c:v>School</c:v>
                </c:pt>
                <c:pt idx="9">
                  <c:v>Force Acceleration</c:v>
                </c:pt>
                <c:pt idx="10">
                  <c:v>School</c:v>
                </c:pt>
                <c:pt idx="11">
                  <c:v>Sudden Braking</c:v>
                </c:pt>
                <c:pt idx="12">
                  <c:v>Pedestrian Crossing</c:v>
                </c:pt>
                <c:pt idx="13">
                  <c:v>Sudden Braking</c:v>
                </c:pt>
                <c:pt idx="14">
                  <c:v>Sudden Braking</c:v>
                </c:pt>
                <c:pt idx="15">
                  <c:v>Sudden Braking</c:v>
                </c:pt>
                <c:pt idx="16">
                  <c:v>Pedestrian Crossing</c:v>
                </c:pt>
                <c:pt idx="17">
                  <c:v>Pedestrian Crossing</c:v>
                </c:pt>
                <c:pt idx="18">
                  <c:v>School</c:v>
                </c:pt>
                <c:pt idx="19">
                  <c:v>Sudden Braking</c:v>
                </c:pt>
                <c:pt idx="20">
                  <c:v>Caution</c:v>
                </c:pt>
                <c:pt idx="21">
                  <c:v>Caution</c:v>
                </c:pt>
                <c:pt idx="22">
                  <c:v>Over Speed</c:v>
                </c:pt>
                <c:pt idx="23">
                  <c:v>Pedestrian Crossing</c:v>
                </c:pt>
                <c:pt idx="24">
                  <c:v>Pedestrian Crossing</c:v>
                </c:pt>
                <c:pt idx="25">
                  <c:v>Sudden Braking</c:v>
                </c:pt>
                <c:pt idx="26">
                  <c:v>School</c:v>
                </c:pt>
                <c:pt idx="27">
                  <c:v>Pedestrian Crossing</c:v>
                </c:pt>
                <c:pt idx="28">
                  <c:v>Intersection</c:v>
                </c:pt>
                <c:pt idx="29">
                  <c:v>Intersection</c:v>
                </c:pt>
                <c:pt idx="30">
                  <c:v>Curve</c:v>
                </c:pt>
                <c:pt idx="31">
                  <c:v>Over Speed</c:v>
                </c:pt>
                <c:pt idx="32">
                  <c:v>Intersection</c:v>
                </c:pt>
                <c:pt idx="33">
                  <c:v>Curve</c:v>
                </c:pt>
                <c:pt idx="34">
                  <c:v>Over Speed</c:v>
                </c:pt>
                <c:pt idx="35">
                  <c:v>Sudden Braking</c:v>
                </c:pt>
                <c:pt idx="36">
                  <c:v>Sudden Braking</c:v>
                </c:pt>
                <c:pt idx="37">
                  <c:v>Sudden Braking</c:v>
                </c:pt>
                <c:pt idx="38">
                  <c:v>Sudden Braking</c:v>
                </c:pt>
                <c:pt idx="39">
                  <c:v>Curve</c:v>
                </c:pt>
                <c:pt idx="40">
                  <c:v>Curve</c:v>
                </c:pt>
                <c:pt idx="41">
                  <c:v>Over Speed</c:v>
                </c:pt>
                <c:pt idx="42">
                  <c:v>Curve</c:v>
                </c:pt>
                <c:pt idx="43">
                  <c:v>Sudden Braking</c:v>
                </c:pt>
                <c:pt idx="44">
                  <c:v>Curve</c:v>
                </c:pt>
                <c:pt idx="45">
                  <c:v>Sudden Braking</c:v>
                </c:pt>
                <c:pt idx="46">
                  <c:v>Curve</c:v>
                </c:pt>
                <c:pt idx="47">
                  <c:v>Sudden Braking</c:v>
                </c:pt>
                <c:pt idx="48">
                  <c:v>Sudden Braking</c:v>
                </c:pt>
                <c:pt idx="49">
                  <c:v>Over Speed</c:v>
                </c:pt>
                <c:pt idx="50">
                  <c:v>Curve</c:v>
                </c:pt>
                <c:pt idx="51">
                  <c:v>Over Speed</c:v>
                </c:pt>
                <c:pt idx="52">
                  <c:v>Over Speed</c:v>
                </c:pt>
                <c:pt idx="53">
                  <c:v>Curve</c:v>
                </c:pt>
                <c:pt idx="54">
                  <c:v>Over Speed</c:v>
                </c:pt>
                <c:pt idx="55">
                  <c:v>Curve</c:v>
                </c:pt>
                <c:pt idx="56">
                  <c:v>Sudden Braking</c:v>
                </c:pt>
                <c:pt idx="57">
                  <c:v>Curve</c:v>
                </c:pt>
                <c:pt idx="58">
                  <c:v>Sudden Braking</c:v>
                </c:pt>
                <c:pt idx="59">
                  <c:v>Over Speed</c:v>
                </c:pt>
                <c:pt idx="60">
                  <c:v>Over Speed</c:v>
                </c:pt>
                <c:pt idx="61">
                  <c:v>Curve</c:v>
                </c:pt>
                <c:pt idx="62">
                  <c:v>Curve</c:v>
                </c:pt>
                <c:pt idx="63">
                  <c:v>Sudden Braking</c:v>
                </c:pt>
                <c:pt idx="64">
                  <c:v>Over Speed</c:v>
                </c:pt>
                <c:pt idx="65">
                  <c:v>Over Speed</c:v>
                </c:pt>
                <c:pt idx="66">
                  <c:v>Curve</c:v>
                </c:pt>
                <c:pt idx="67">
                  <c:v>Curve</c:v>
                </c:pt>
                <c:pt idx="68">
                  <c:v>Over Speed</c:v>
                </c:pt>
                <c:pt idx="69">
                  <c:v>Curve</c:v>
                </c:pt>
                <c:pt idx="70">
                  <c:v>Over Speed</c:v>
                </c:pt>
                <c:pt idx="71">
                  <c:v>Curve</c:v>
                </c:pt>
                <c:pt idx="72">
                  <c:v>Sudden Braking</c:v>
                </c:pt>
                <c:pt idx="73">
                  <c:v>Sudden Braking</c:v>
                </c:pt>
                <c:pt idx="74">
                  <c:v>Curve</c:v>
                </c:pt>
                <c:pt idx="75">
                  <c:v>Curve</c:v>
                </c:pt>
                <c:pt idx="76">
                  <c:v>Pedestrian Crossing</c:v>
                </c:pt>
              </c:strCache>
            </c:strRef>
          </c:cat>
          <c:val>
            <c:numRef>
              <c:f>'lolli chart Data'!$C$2:$C$78</c:f>
              <c:numCache>
                <c:formatCode>0</c:formatCode>
                <c:ptCount val="77"/>
                <c:pt idx="0">
                  <c:v>22</c:v>
                </c:pt>
                <c:pt idx="1">
                  <c:v>2</c:v>
                </c:pt>
                <c:pt idx="2">
                  <c:v>10</c:v>
                </c:pt>
                <c:pt idx="3">
                  <c:v>51</c:v>
                </c:pt>
                <c:pt idx="4">
                  <c:v>91</c:v>
                </c:pt>
                <c:pt idx="5">
                  <c:v>94</c:v>
                </c:pt>
                <c:pt idx="6">
                  <c:v>56</c:v>
                </c:pt>
                <c:pt idx="7">
                  <c:v>77</c:v>
                </c:pt>
                <c:pt idx="8">
                  <c:v>51</c:v>
                </c:pt>
                <c:pt idx="9">
                  <c:v>99</c:v>
                </c:pt>
                <c:pt idx="10">
                  <c:v>2</c:v>
                </c:pt>
                <c:pt idx="11">
                  <c:v>63</c:v>
                </c:pt>
                <c:pt idx="12">
                  <c:v>60</c:v>
                </c:pt>
                <c:pt idx="13">
                  <c:v>62</c:v>
                </c:pt>
                <c:pt idx="14">
                  <c:v>73</c:v>
                </c:pt>
                <c:pt idx="15">
                  <c:v>82</c:v>
                </c:pt>
                <c:pt idx="16">
                  <c:v>53</c:v>
                </c:pt>
                <c:pt idx="17">
                  <c:v>75</c:v>
                </c:pt>
                <c:pt idx="18">
                  <c:v>65</c:v>
                </c:pt>
                <c:pt idx="19">
                  <c:v>80</c:v>
                </c:pt>
                <c:pt idx="20">
                  <c:v>59</c:v>
                </c:pt>
                <c:pt idx="21">
                  <c:v>69</c:v>
                </c:pt>
                <c:pt idx="22">
                  <c:v>2</c:v>
                </c:pt>
                <c:pt idx="23">
                  <c:v>53</c:v>
                </c:pt>
                <c:pt idx="24">
                  <c:v>69</c:v>
                </c:pt>
                <c:pt idx="25">
                  <c:v>78</c:v>
                </c:pt>
                <c:pt idx="26">
                  <c:v>55</c:v>
                </c:pt>
                <c:pt idx="27">
                  <c:v>54</c:v>
                </c:pt>
                <c:pt idx="28">
                  <c:v>65</c:v>
                </c:pt>
                <c:pt idx="29">
                  <c:v>53</c:v>
                </c:pt>
                <c:pt idx="30">
                  <c:v>51</c:v>
                </c:pt>
                <c:pt idx="31">
                  <c:v>41</c:v>
                </c:pt>
                <c:pt idx="32">
                  <c:v>81</c:v>
                </c:pt>
                <c:pt idx="33">
                  <c:v>68</c:v>
                </c:pt>
                <c:pt idx="34">
                  <c:v>100</c:v>
                </c:pt>
                <c:pt idx="35">
                  <c:v>34</c:v>
                </c:pt>
                <c:pt idx="36">
                  <c:v>56</c:v>
                </c:pt>
                <c:pt idx="37">
                  <c:v>82</c:v>
                </c:pt>
                <c:pt idx="38">
                  <c:v>63</c:v>
                </c:pt>
                <c:pt idx="39">
                  <c:v>56</c:v>
                </c:pt>
                <c:pt idx="40">
                  <c:v>66</c:v>
                </c:pt>
                <c:pt idx="41">
                  <c:v>82</c:v>
                </c:pt>
                <c:pt idx="42">
                  <c:v>76</c:v>
                </c:pt>
                <c:pt idx="43">
                  <c:v>90</c:v>
                </c:pt>
                <c:pt idx="44">
                  <c:v>93</c:v>
                </c:pt>
                <c:pt idx="45">
                  <c:v>82</c:v>
                </c:pt>
                <c:pt idx="46">
                  <c:v>56</c:v>
                </c:pt>
                <c:pt idx="47">
                  <c:v>34</c:v>
                </c:pt>
                <c:pt idx="48">
                  <c:v>43</c:v>
                </c:pt>
                <c:pt idx="49">
                  <c:v>21</c:v>
                </c:pt>
                <c:pt idx="50">
                  <c:v>57</c:v>
                </c:pt>
                <c:pt idx="51">
                  <c:v>42</c:v>
                </c:pt>
                <c:pt idx="52">
                  <c:v>2</c:v>
                </c:pt>
                <c:pt idx="53">
                  <c:v>62</c:v>
                </c:pt>
                <c:pt idx="54">
                  <c:v>56</c:v>
                </c:pt>
                <c:pt idx="55">
                  <c:v>60</c:v>
                </c:pt>
                <c:pt idx="56">
                  <c:v>69</c:v>
                </c:pt>
                <c:pt idx="57">
                  <c:v>62</c:v>
                </c:pt>
                <c:pt idx="58">
                  <c:v>72</c:v>
                </c:pt>
                <c:pt idx="59">
                  <c:v>39</c:v>
                </c:pt>
                <c:pt idx="60">
                  <c:v>21</c:v>
                </c:pt>
                <c:pt idx="61">
                  <c:v>100</c:v>
                </c:pt>
                <c:pt idx="62">
                  <c:v>67</c:v>
                </c:pt>
                <c:pt idx="63">
                  <c:v>83</c:v>
                </c:pt>
                <c:pt idx="64">
                  <c:v>32</c:v>
                </c:pt>
                <c:pt idx="65">
                  <c:v>1</c:v>
                </c:pt>
                <c:pt idx="66">
                  <c:v>52</c:v>
                </c:pt>
                <c:pt idx="67">
                  <c:v>73</c:v>
                </c:pt>
                <c:pt idx="68">
                  <c:v>97</c:v>
                </c:pt>
                <c:pt idx="69">
                  <c:v>73</c:v>
                </c:pt>
                <c:pt idx="70">
                  <c:v>52</c:v>
                </c:pt>
                <c:pt idx="71">
                  <c:v>59</c:v>
                </c:pt>
                <c:pt idx="72">
                  <c:v>94</c:v>
                </c:pt>
                <c:pt idx="73">
                  <c:v>36</c:v>
                </c:pt>
                <c:pt idx="74">
                  <c:v>52</c:v>
                </c:pt>
                <c:pt idx="75">
                  <c:v>69</c:v>
                </c:pt>
                <c:pt idx="76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A4-42AF-A344-00CA77F45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1369247"/>
        <c:axId val="1251380063"/>
      </c:areaChart>
      <c:catAx>
        <c:axId val="12513692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1380063"/>
        <c:crosses val="autoZero"/>
        <c:auto val="1"/>
        <c:lblAlgn val="ctr"/>
        <c:lblOffset val="100"/>
        <c:noMultiLvlLbl val="0"/>
      </c:catAx>
      <c:valAx>
        <c:axId val="1251380063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51369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92D050"/>
    </a:solidFill>
    <a:ln w="9525" cap="flat" cmpd="sng" algn="ctr">
      <a:solidFill>
        <a:schemeClr val="tx1">
          <a:lumMod val="65000"/>
          <a:lumOff val="3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1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1" u="sng"/>
              <a:t>Red Alerts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1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649999258567249E-2"/>
          <c:y val="0.10650633841315735"/>
          <c:w val="0.89647745303023563"/>
          <c:h val="0.78129214639159539"/>
        </c:manualLayout>
      </c:layout>
      <c:bubbleChart>
        <c:varyColors val="0"/>
        <c:ser>
          <c:idx val="0"/>
          <c:order val="0"/>
          <c:tx>
            <c:v>Red risks</c:v>
          </c:tx>
          <c:spPr>
            <a:solidFill>
              <a:srgbClr val="FC6652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'Bubble chart data'!$A$2:$A$9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'Bubble chart data'!$D$2:$D$9</c:f>
              <c:numCache>
                <c:formatCode>0</c:formatCode>
                <c:ptCount val="8"/>
                <c:pt idx="0">
                  <c:v>91</c:v>
                </c:pt>
                <c:pt idx="1">
                  <c:v>94</c:v>
                </c:pt>
                <c:pt idx="2">
                  <c:v>99</c:v>
                </c:pt>
                <c:pt idx="3">
                  <c:v>100</c:v>
                </c:pt>
                <c:pt idx="4">
                  <c:v>93</c:v>
                </c:pt>
                <c:pt idx="5">
                  <c:v>100</c:v>
                </c:pt>
                <c:pt idx="6">
                  <c:v>97</c:v>
                </c:pt>
                <c:pt idx="7">
                  <c:v>94</c:v>
                </c:pt>
              </c:numCache>
            </c:numRef>
          </c:yVal>
          <c:bubbleSize>
            <c:numRef>
              <c:f>'Bubble chart data'!$I$2:$I$9</c:f>
              <c:numCache>
                <c:formatCode>0</c:formatCode>
                <c:ptCount val="8"/>
                <c:pt idx="0">
                  <c:v>30</c:v>
                </c:pt>
                <c:pt idx="1">
                  <c:v>16</c:v>
                </c:pt>
                <c:pt idx="2">
                  <c:v>81</c:v>
                </c:pt>
                <c:pt idx="3">
                  <c:v>42</c:v>
                </c:pt>
                <c:pt idx="4">
                  <c:v>38</c:v>
                </c:pt>
                <c:pt idx="5">
                  <c:v>37</c:v>
                </c:pt>
                <c:pt idx="6">
                  <c:v>100</c:v>
                </c:pt>
                <c:pt idx="7">
                  <c:v>26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A-0A20-4932-9C0E-25D356B67EC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1958418192"/>
        <c:axId val="1958418608"/>
      </c:bubbleChart>
      <c:valAx>
        <c:axId val="1958418192"/>
        <c:scaling>
          <c:orientation val="minMax"/>
          <c:min val="0"/>
        </c:scaling>
        <c:delete val="1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crossAx val="1958418608"/>
        <c:crosses val="autoZero"/>
        <c:crossBetween val="midCat"/>
      </c:valAx>
      <c:valAx>
        <c:axId val="1958418608"/>
        <c:scaling>
          <c:orientation val="minMax"/>
          <c:max val="110"/>
          <c:min val="8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Risk</a:t>
                </a:r>
                <a:r>
                  <a:rPr lang="en-US" sz="1100" b="1" baseline="0"/>
                  <a:t> Value</a:t>
                </a:r>
                <a:endParaRPr lang="en-US" sz="11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41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63726091124836"/>
          <c:y val="0.24034622295589675"/>
          <c:w val="0.86040265924843229"/>
          <c:h val="0.643955706835346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'Bubble chart data'!$G$13</c:f>
              <c:strCache>
                <c:ptCount val="1"/>
                <c:pt idx="0">
                  <c:v>P-Speed/S-Limit</c:v>
                </c:pt>
              </c:strCache>
            </c:strRef>
          </c:tx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'Bubble chart data'!$C$14</c:f>
              <c:strCache>
                <c:ptCount val="1"/>
                <c:pt idx="0">
                  <c:v>Sudden Braking</c:v>
                </c:pt>
              </c:strCache>
            </c:strRef>
          </c:cat>
          <c:val>
            <c:numRef>
              <c:f>'Bubble chart data'!$G$14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7F-4845-927D-0718FDD30C74}"/>
            </c:ext>
          </c:extLst>
        </c:ser>
        <c:ser>
          <c:idx val="1"/>
          <c:order val="1"/>
          <c:tx>
            <c:strRef>
              <c:f>'Bubble chart data'!$H$13</c:f>
              <c:strCache>
                <c:ptCount val="1"/>
                <c:pt idx="0">
                  <c:v>Speed</c:v>
                </c:pt>
              </c:strCache>
            </c:strRef>
          </c:tx>
          <c:spPr>
            <a:solidFill>
              <a:schemeClr val="accent2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'Bubble chart data'!$C$14</c:f>
              <c:strCache>
                <c:ptCount val="1"/>
                <c:pt idx="0">
                  <c:v>Sudden Braking</c:v>
                </c:pt>
              </c:strCache>
            </c:strRef>
          </c:cat>
          <c:val>
            <c:numRef>
              <c:f>'Bubble chart data'!$H$14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7F-4845-927D-0718FDD30C7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14879759"/>
        <c:axId val="814875183"/>
      </c:barChart>
      <c:catAx>
        <c:axId val="81487975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14875183"/>
        <c:crosses val="autoZero"/>
        <c:auto val="1"/>
        <c:lblAlgn val="ctr"/>
        <c:lblOffset val="100"/>
        <c:noMultiLvlLbl val="0"/>
      </c:catAx>
      <c:valAx>
        <c:axId val="814875183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879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81060711239811"/>
          <c:y val="0.91574542132509684"/>
          <c:w val="0.60920962335627438"/>
          <c:h val="6.21551311610910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1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1" u="sng"/>
              <a:t>Red Alerts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1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649999258567249E-2"/>
          <c:y val="0.10650633841315735"/>
          <c:w val="0.89647745303023563"/>
          <c:h val="0.78129214639159539"/>
        </c:manualLayout>
      </c:layout>
      <c:bubbleChart>
        <c:varyColors val="0"/>
        <c:ser>
          <c:idx val="0"/>
          <c:order val="0"/>
          <c:tx>
            <c:v>Red risks</c:v>
          </c:tx>
          <c:spPr>
            <a:solidFill>
              <a:srgbClr val="FC6652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'Bubble chart data'!$A$2:$A$9</c:f>
              <c:strCache>
                <c:ptCount val="8"/>
                <c:pt idx="0">
                  <c:v>L1</c:v>
                </c:pt>
                <c:pt idx="1">
                  <c:v>L2</c:v>
                </c:pt>
                <c:pt idx="2">
                  <c:v>L3</c:v>
                </c:pt>
                <c:pt idx="3">
                  <c:v>L4</c:v>
                </c:pt>
                <c:pt idx="4">
                  <c:v>L5</c:v>
                </c:pt>
                <c:pt idx="5">
                  <c:v>L6</c:v>
                </c:pt>
                <c:pt idx="6">
                  <c:v>L7</c:v>
                </c:pt>
                <c:pt idx="7">
                  <c:v>L8</c:v>
                </c:pt>
              </c:strCache>
            </c:strRef>
          </c:xVal>
          <c:yVal>
            <c:numRef>
              <c:f>'Bubble chart data'!$D$2:$D$9</c:f>
              <c:numCache>
                <c:formatCode>0</c:formatCode>
                <c:ptCount val="8"/>
                <c:pt idx="0">
                  <c:v>91</c:v>
                </c:pt>
                <c:pt idx="1">
                  <c:v>94</c:v>
                </c:pt>
                <c:pt idx="2">
                  <c:v>99</c:v>
                </c:pt>
                <c:pt idx="3">
                  <c:v>100</c:v>
                </c:pt>
                <c:pt idx="4">
                  <c:v>93</c:v>
                </c:pt>
                <c:pt idx="5">
                  <c:v>100</c:v>
                </c:pt>
                <c:pt idx="6">
                  <c:v>97</c:v>
                </c:pt>
                <c:pt idx="7">
                  <c:v>94</c:v>
                </c:pt>
              </c:numCache>
            </c:numRef>
          </c:yVal>
          <c:bubbleSize>
            <c:numRef>
              <c:f>'Bubble chart data'!$I$2:$I$9</c:f>
              <c:numCache>
                <c:formatCode>0</c:formatCode>
                <c:ptCount val="8"/>
                <c:pt idx="0">
                  <c:v>30</c:v>
                </c:pt>
                <c:pt idx="1">
                  <c:v>16</c:v>
                </c:pt>
                <c:pt idx="2">
                  <c:v>81</c:v>
                </c:pt>
                <c:pt idx="3">
                  <c:v>42</c:v>
                </c:pt>
                <c:pt idx="4">
                  <c:v>38</c:v>
                </c:pt>
                <c:pt idx="5">
                  <c:v>37</c:v>
                </c:pt>
                <c:pt idx="6">
                  <c:v>100</c:v>
                </c:pt>
                <c:pt idx="7">
                  <c:v>26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E64B-49C4-AF0A-4557A023426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bubbleScale val="100"/>
        <c:showNegBubbles val="0"/>
        <c:axId val="1958418192"/>
        <c:axId val="1958418608"/>
      </c:bubbleChart>
      <c:valAx>
        <c:axId val="1958418192"/>
        <c:scaling>
          <c:orientation val="minMax"/>
          <c:min val="0"/>
        </c:scaling>
        <c:delete val="1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none"/>
        <c:minorTickMark val="none"/>
        <c:tickLblPos val="nextTo"/>
        <c:crossAx val="1958418608"/>
        <c:crosses val="autoZero"/>
        <c:crossBetween val="midCat"/>
      </c:valAx>
      <c:valAx>
        <c:axId val="1958418608"/>
        <c:scaling>
          <c:orientation val="minMax"/>
          <c:max val="110"/>
          <c:min val="8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 b="1"/>
                  <a:t>Risk</a:t>
                </a:r>
                <a:r>
                  <a:rPr lang="en-US" sz="1100" b="1" baseline="0"/>
                  <a:t> Value</a:t>
                </a:r>
                <a:endParaRPr lang="en-US" sz="11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841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63726091124836"/>
          <c:y val="0.24034622295589675"/>
          <c:w val="0.86040265924843229"/>
          <c:h val="0.643955706835346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'Bubble chart data'!$G$13</c:f>
              <c:strCache>
                <c:ptCount val="1"/>
                <c:pt idx="0">
                  <c:v>P-Speed/S-Limit</c:v>
                </c:pt>
              </c:strCache>
            </c:strRef>
          </c:tx>
          <c:spPr>
            <a:solidFill>
              <a:schemeClr val="accent1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'Bubble chart data'!$C$14</c:f>
              <c:strCache>
                <c:ptCount val="1"/>
                <c:pt idx="0">
                  <c:v>Sudden Braking</c:v>
                </c:pt>
              </c:strCache>
            </c:strRef>
          </c:cat>
          <c:val>
            <c:numRef>
              <c:f>'Bubble chart data'!$G$14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7E-4C3E-9374-D9DFAEC65567}"/>
            </c:ext>
          </c:extLst>
        </c:ser>
        <c:ser>
          <c:idx val="1"/>
          <c:order val="1"/>
          <c:tx>
            <c:strRef>
              <c:f>'Bubble chart data'!$H$13</c:f>
              <c:strCache>
                <c:ptCount val="1"/>
                <c:pt idx="0">
                  <c:v>Speed</c:v>
                </c:pt>
              </c:strCache>
            </c:strRef>
          </c:tx>
          <c:spPr>
            <a:solidFill>
              <a:schemeClr val="accent2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'Bubble chart data'!$C$14</c:f>
              <c:strCache>
                <c:ptCount val="1"/>
                <c:pt idx="0">
                  <c:v>Sudden Braking</c:v>
                </c:pt>
              </c:strCache>
            </c:strRef>
          </c:cat>
          <c:val>
            <c:numRef>
              <c:f>'Bubble chart data'!$H$14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7E-4C3E-9374-D9DFAEC655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14879759"/>
        <c:axId val="814875183"/>
      </c:barChart>
      <c:catAx>
        <c:axId val="81487975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14875183"/>
        <c:crosses val="autoZero"/>
        <c:auto val="1"/>
        <c:lblAlgn val="ctr"/>
        <c:lblOffset val="100"/>
        <c:noMultiLvlLbl val="0"/>
      </c:catAx>
      <c:valAx>
        <c:axId val="814875183"/>
        <c:scaling>
          <c:orientation val="minMax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48797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16159670688645"/>
          <c:y val="0.41228422343898785"/>
          <c:w val="0.68467512989447743"/>
          <c:h val="0.538579586627491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'Heat map data'!$D$13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5B5B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'Heat map data'!$C$14</c:f>
              <c:strCache>
                <c:ptCount val="1"/>
                <c:pt idx="0">
                  <c:v>Over Speed</c:v>
                </c:pt>
              </c:strCache>
            </c:strRef>
          </c:cat>
          <c:val>
            <c:numRef>
              <c:f>'Heat map data'!$D$14</c:f>
              <c:numCache>
                <c:formatCode>General</c:formatCode>
                <c:ptCount val="1"/>
                <c:pt idx="0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E-4FB9-B309-3D742E8E59F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06016848"/>
        <c:axId val="1506021424"/>
      </c:barChart>
      <c:catAx>
        <c:axId val="1506016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6021424"/>
        <c:crosses val="autoZero"/>
        <c:auto val="1"/>
        <c:lblAlgn val="ctr"/>
        <c:lblOffset val="100"/>
        <c:noMultiLvlLbl val="0"/>
      </c:catAx>
      <c:valAx>
        <c:axId val="150602142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Risk</a:t>
                </a:r>
                <a:r>
                  <a:rPr lang="en-IN" baseline="0"/>
                  <a:t> Value</a:t>
                </a:r>
              </a:p>
            </c:rich>
          </c:tx>
          <c:layout>
            <c:manualLayout>
              <c:xMode val="edge"/>
              <c:yMode val="edge"/>
              <c:x val="3.7586434789176532E-2"/>
              <c:y val="0.567376188103582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601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16159670688645"/>
          <c:y val="0.41228422343898785"/>
          <c:w val="0.68467512989447743"/>
          <c:h val="0.538579586627491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'Heat map data'!$D$13</c:f>
              <c:strCache>
                <c:ptCount val="1"/>
                <c:pt idx="0">
                  <c:v>Risk Value</c:v>
                </c:pt>
              </c:strCache>
            </c:strRef>
          </c:tx>
          <c:spPr>
            <a:solidFill>
              <a:srgbClr val="FF5B5B"/>
            </a:solidFill>
            <a:ln w="6350">
              <a:solidFill>
                <a:schemeClr val="tx1"/>
              </a:solidFill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'Heat map data'!$C$14</c:f>
              <c:strCache>
                <c:ptCount val="1"/>
                <c:pt idx="0">
                  <c:v>Over Speed</c:v>
                </c:pt>
              </c:strCache>
            </c:strRef>
          </c:cat>
          <c:val>
            <c:numRef>
              <c:f>'Heat map data'!$D$14</c:f>
              <c:numCache>
                <c:formatCode>General</c:formatCode>
                <c:ptCount val="1"/>
                <c:pt idx="0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5A-448D-9C2B-583F827DD3E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06016848"/>
        <c:axId val="1506021424"/>
      </c:barChart>
      <c:catAx>
        <c:axId val="1506016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6021424"/>
        <c:crosses val="autoZero"/>
        <c:auto val="1"/>
        <c:lblAlgn val="ctr"/>
        <c:lblOffset val="100"/>
        <c:noMultiLvlLbl val="0"/>
      </c:catAx>
      <c:valAx>
        <c:axId val="150602142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Risk</a:t>
                </a:r>
                <a:r>
                  <a:rPr lang="en-IN" baseline="0"/>
                  <a:t> Value</a:t>
                </a:r>
              </a:p>
            </c:rich>
          </c:tx>
          <c:layout>
            <c:manualLayout>
              <c:xMode val="edge"/>
              <c:yMode val="edge"/>
              <c:x val="3.7586434789176532E-2"/>
              <c:y val="0.567376188103582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601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018525809273839"/>
          <c:y val="0.16917432195975501"/>
          <c:w val="0.41907414698162732"/>
          <c:h val="0.69845691163604551"/>
        </c:manualLayout>
      </c:layout>
      <c:radarChart>
        <c:radarStyle val="marker"/>
        <c:varyColors val="0"/>
        <c:ser>
          <c:idx val="0"/>
          <c:order val="0"/>
          <c:spPr>
            <a:ln w="3810" cap="rnd" cmpd="sng" algn="ctr">
              <a:solidFill>
                <a:schemeClr val="tx1"/>
              </a:solidFill>
              <a:prstDash val="solid"/>
              <a:round/>
            </a:ln>
            <a:effectLst/>
          </c:spPr>
          <c:marker>
            <c:symbol val="circle"/>
            <c:size val="6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solidFill>
                  <a:schemeClr val="tx1">
                    <a:alpha val="87000"/>
                  </a:schemeClr>
                </a:solidFill>
              </a:ln>
              <a:effectLst/>
            </c:spPr>
          </c:marker>
          <c:cat>
            <c:strRef>
              <c:f>'Radar graph data'!$B$1:$E$1</c:f>
              <c:strCache>
                <c:ptCount val="4"/>
                <c:pt idx="0">
                  <c:v>Driving Score</c:v>
                </c:pt>
                <c:pt idx="1">
                  <c:v>Driving Skill</c:v>
                </c:pt>
                <c:pt idx="2">
                  <c:v>Anticipation</c:v>
                </c:pt>
                <c:pt idx="3">
                  <c:v>Self Confidence</c:v>
                </c:pt>
              </c:strCache>
            </c:strRef>
          </c:cat>
          <c:val>
            <c:numRef>
              <c:f>'Radar graph data'!$B$2:$E$2</c:f>
              <c:numCache>
                <c:formatCode>General</c:formatCode>
                <c:ptCount val="4"/>
                <c:pt idx="0">
                  <c:v>81</c:v>
                </c:pt>
                <c:pt idx="1">
                  <c:v>100</c:v>
                </c:pt>
                <c:pt idx="2">
                  <c:v>84</c:v>
                </c:pt>
                <c:pt idx="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73-4F34-A879-25F0269A0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1415823"/>
        <c:axId val="901403343"/>
      </c:radarChart>
      <c:catAx>
        <c:axId val="9014158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403343"/>
        <c:crosses val="autoZero"/>
        <c:auto val="1"/>
        <c:lblAlgn val="ctr"/>
        <c:lblOffset val="100"/>
        <c:noMultiLvlLbl val="0"/>
      </c:catAx>
      <c:valAx>
        <c:axId val="901403343"/>
        <c:scaling>
          <c:orientation val="minMax"/>
        </c:scaling>
        <c:delete val="0"/>
        <c:axPos val="l"/>
        <c:majorGridlines>
          <c:spPr>
            <a:ln w="2540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415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5400" cap="rnd" cmpd="sng" algn="ctr">
        <a:solidFill>
          <a:schemeClr val="phClr"/>
        </a:solidFill>
        <a:prstDash val="sysDot"/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431800</xdr:colOff>
      <xdr:row>5</xdr:row>
      <xdr:rowOff>127000</xdr:rowOff>
    </xdr:from>
    <xdr:to>
      <xdr:col>61</xdr:col>
      <xdr:colOff>0</xdr:colOff>
      <xdr:row>121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381000</xdr:colOff>
      <xdr:row>5</xdr:row>
      <xdr:rowOff>152400</xdr:rowOff>
    </xdr:from>
    <xdr:to>
      <xdr:col>87</xdr:col>
      <xdr:colOff>574677</xdr:colOff>
      <xdr:row>30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76</xdr:col>
      <xdr:colOff>368301</xdr:colOff>
      <xdr:row>31</xdr:row>
      <xdr:rowOff>0</xdr:rowOff>
    </xdr:from>
    <xdr:to>
      <xdr:col>87</xdr:col>
      <xdr:colOff>571500</xdr:colOff>
      <xdr:row>55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0.2938</cdr:x>
      <cdr:y>0.22847</cdr:y>
    </cdr:from>
    <cdr:to>
      <cdr:x>0.72526</cdr:x>
      <cdr:y>0.4289</cdr:y>
    </cdr:to>
    <cdr:sp macro="" textlink="'lolli chart Data'!$O$2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A726428-7233-308E-654E-B0203A500440}"/>
            </a:ext>
          </a:extLst>
        </cdr:cNvPr>
        <cdr:cNvSpPr txBox="1"/>
      </cdr:nvSpPr>
      <cdr:spPr>
        <a:xfrm xmlns:a="http://schemas.openxmlformats.org/drawingml/2006/main">
          <a:off x="2027018" y="1003958"/>
          <a:ext cx="2976782" cy="880723"/>
        </a:xfrm>
        <a:prstGeom xmlns:a="http://schemas.openxmlformats.org/drawingml/2006/main" prst="rect">
          <a:avLst/>
        </a:prstGeom>
        <a:solidFill xmlns:a="http://schemas.openxmlformats.org/drawingml/2006/main">
          <a:srgbClr val="FF7979"/>
        </a:solidFill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FFDB79A-666B-4A44-83A1-EB483CD67768}" type="TxLink">
            <a:rPr lang="en-US" sz="8800" b="0" i="0" u="none" strike="noStrike">
              <a:solidFill>
                <a:schemeClr val="bg2">
                  <a:lumMod val="25000"/>
                </a:schemeClr>
              </a:solidFill>
              <a:latin typeface="Calibri"/>
              <a:cs typeface="Calibri"/>
            </a:rPr>
            <a:pPr algn="ctr"/>
            <a:t>8</a:t>
          </a:fld>
          <a:endParaRPr lang="en-US" sz="8800">
            <a:solidFill>
              <a:schemeClr val="bg2">
                <a:lumMod val="25000"/>
              </a:schemeClr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0.30048</cdr:x>
      <cdr:y>0.24949</cdr:y>
    </cdr:from>
    <cdr:to>
      <cdr:x>0.74227</cdr:x>
      <cdr:y>0.43353</cdr:y>
    </cdr:to>
    <cdr:sp macro="" textlink="'lolli chart Data'!$O$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EA726428-7233-308E-654E-B0203A500440}"/>
            </a:ext>
          </a:extLst>
        </cdr:cNvPr>
        <cdr:cNvSpPr txBox="1"/>
      </cdr:nvSpPr>
      <cdr:spPr>
        <a:xfrm xmlns:a="http://schemas.openxmlformats.org/drawingml/2006/main">
          <a:off x="2075984" y="1096291"/>
          <a:ext cx="3052239" cy="808709"/>
        </a:xfrm>
        <a:prstGeom xmlns:a="http://schemas.openxmlformats.org/drawingml/2006/main" prst="rect">
          <a:avLst/>
        </a:prstGeom>
        <a:solidFill xmlns:a="http://schemas.openxmlformats.org/drawingml/2006/main">
          <a:srgbClr val="92D050"/>
        </a:solidFill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1060133E-3074-4AEE-AC5B-AB3DABB15D17}" type="TxLink">
            <a:rPr lang="en-US" sz="8800" b="0" i="0" u="none" strike="noStrike">
              <a:solidFill>
                <a:schemeClr val="bg2">
                  <a:lumMod val="25000"/>
                </a:schemeClr>
              </a:solidFill>
              <a:latin typeface="Calibri"/>
              <a:cs typeface="Calibri"/>
            </a:rPr>
            <a:pPr algn="ctr"/>
            <a:t>69</a:t>
          </a:fld>
          <a:endParaRPr lang="en-US" sz="8800">
            <a:solidFill>
              <a:schemeClr val="bg2">
                <a:lumMod val="25000"/>
              </a:schemeClr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0</xdr:row>
      <xdr:rowOff>171450</xdr:rowOff>
    </xdr:from>
    <xdr:to>
      <xdr:col>12</xdr:col>
      <xdr:colOff>158750</xdr:colOff>
      <xdr:row>22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79375</xdr:colOff>
      <xdr:row>2</xdr:row>
      <xdr:rowOff>73025</xdr:rowOff>
    </xdr:from>
    <xdr:to>
      <xdr:col>17</xdr:col>
      <xdr:colOff>161925</xdr:colOff>
      <xdr:row>21</xdr:row>
      <xdr:rowOff>15875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0.0791</cdr:x>
      <cdr:y>0.88492</cdr:y>
    </cdr:from>
    <cdr:to>
      <cdr:x>0.9774</cdr:x>
      <cdr:y>0.88492</cdr:y>
    </cdr:to>
    <cdr:cxnSp macro="">
      <cdr:nvCxnSpPr>
        <cdr:cNvPr id="53" name="Straight Connector 52">
          <a:extLst xmlns:a="http://schemas.openxmlformats.org/drawingml/2006/main">
            <a:ext uri="{FF2B5EF4-FFF2-40B4-BE49-F238E27FC236}">
              <a16:creationId xmlns:a16="http://schemas.microsoft.com/office/drawing/2014/main" id="{721650A2-2A2A-61F1-27F2-CBC255E13646}"/>
            </a:ext>
          </a:extLst>
        </cdr:cNvPr>
        <cdr:cNvCxnSpPr/>
      </cdr:nvCxnSpPr>
      <cdr:spPr>
        <a:xfrm xmlns:a="http://schemas.openxmlformats.org/drawingml/2006/main">
          <a:off x="533400" y="3295688"/>
          <a:ext cx="6057900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>
              <a:lumMod val="65000"/>
              <a:lumOff val="35000"/>
            </a:schemeClr>
          </a:solidFill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0.13559</cdr:x>
      <cdr:y>0.89173</cdr:y>
    </cdr:from>
    <cdr:to>
      <cdr:x>0.21029</cdr:x>
      <cdr:y>0.97101</cdr:y>
    </cdr:to>
    <cdr:sp macro="" textlink="">
      <cdr:nvSpPr>
        <cdr:cNvPr id="58" name="TextBox 1">
          <a:extLst xmlns:a="http://schemas.openxmlformats.org/drawingml/2006/main">
            <a:ext uri="{FF2B5EF4-FFF2-40B4-BE49-F238E27FC236}">
              <a16:creationId xmlns:a16="http://schemas.microsoft.com/office/drawing/2014/main" id="{3D837734-FBE3-4F56-BE0E-C6C40D327687}"/>
            </a:ext>
          </a:extLst>
        </cdr:cNvPr>
        <cdr:cNvSpPr txBox="1"/>
      </cdr:nvSpPr>
      <cdr:spPr>
        <a:xfrm xmlns:a="http://schemas.openxmlformats.org/drawingml/2006/main">
          <a:off x="914400" y="3321051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solidFill>
                <a:schemeClr val="tx1"/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0.22169</cdr:x>
      <cdr:y>0.89173</cdr:y>
    </cdr:from>
    <cdr:to>
      <cdr:x>0.29638</cdr:x>
      <cdr:y>0.97101</cdr:y>
    </cdr:to>
    <cdr:sp macro="" textlink="">
      <cdr:nvSpPr>
        <cdr:cNvPr id="59" name="TextBox 1">
          <a:extLst xmlns:a="http://schemas.openxmlformats.org/drawingml/2006/main">
            <a:ext uri="{FF2B5EF4-FFF2-40B4-BE49-F238E27FC236}">
              <a16:creationId xmlns:a16="http://schemas.microsoft.com/office/drawing/2014/main" id="{68C4257F-E769-C3C9-7D00-062CD85C8CB6}"/>
            </a:ext>
          </a:extLst>
        </cdr:cNvPr>
        <cdr:cNvSpPr txBox="1"/>
      </cdr:nvSpPr>
      <cdr:spPr>
        <a:xfrm xmlns:a="http://schemas.openxmlformats.org/drawingml/2006/main">
          <a:off x="1495025" y="3321051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0.29835</cdr:x>
      <cdr:y>0.89344</cdr:y>
    </cdr:from>
    <cdr:to>
      <cdr:x>0.40507</cdr:x>
      <cdr:y>0.97272</cdr:y>
    </cdr:to>
    <cdr:sp macro="" textlink="">
      <cdr:nvSpPr>
        <cdr:cNvPr id="60" name="TextBox 1">
          <a:extLst xmlns:a="http://schemas.openxmlformats.org/drawingml/2006/main">
            <a:ext uri="{FF2B5EF4-FFF2-40B4-BE49-F238E27FC236}">
              <a16:creationId xmlns:a16="http://schemas.microsoft.com/office/drawing/2014/main" id="{B2550AE5-2976-2C22-310D-4B3A01ED6161}"/>
            </a:ext>
          </a:extLst>
        </cdr:cNvPr>
        <cdr:cNvSpPr txBox="1"/>
      </cdr:nvSpPr>
      <cdr:spPr>
        <a:xfrm xmlns:a="http://schemas.openxmlformats.org/drawingml/2006/main">
          <a:off x="2104814" y="3568533"/>
          <a:ext cx="752894" cy="316657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00">
              <a:latin typeface="+mj-lt"/>
            </a:rPr>
            <a:t>Force</a:t>
          </a:r>
          <a:r>
            <a:rPr lang="en-US" sz="700" baseline="0">
              <a:latin typeface="+mj-lt"/>
            </a:rPr>
            <a:t> Acceleration</a:t>
          </a:r>
          <a:endParaRPr lang="en-US" sz="700">
            <a:latin typeface="+mj-lt"/>
          </a:endParaRPr>
        </a:p>
      </cdr:txBody>
    </cdr:sp>
  </cdr:relSizeAnchor>
  <cdr:relSizeAnchor xmlns:cdr="http://schemas.openxmlformats.org/drawingml/2006/chartDrawing">
    <cdr:from>
      <cdr:x>0.40372</cdr:x>
      <cdr:y>0.89003</cdr:y>
    </cdr:from>
    <cdr:to>
      <cdr:x>0.47842</cdr:x>
      <cdr:y>0.96931</cdr:y>
    </cdr:to>
    <cdr:sp macro="" textlink="">
      <cdr:nvSpPr>
        <cdr:cNvPr id="61" name="TextBox 1">
          <a:extLst xmlns:a="http://schemas.openxmlformats.org/drawingml/2006/main">
            <a:ext uri="{FF2B5EF4-FFF2-40B4-BE49-F238E27FC236}">
              <a16:creationId xmlns:a16="http://schemas.microsoft.com/office/drawing/2014/main" id="{F74DA5B9-488E-AFCF-D37E-7DFD9BBEEFB9}"/>
            </a:ext>
          </a:extLst>
        </cdr:cNvPr>
        <cdr:cNvSpPr txBox="1"/>
      </cdr:nvSpPr>
      <cdr:spPr>
        <a:xfrm xmlns:a="http://schemas.openxmlformats.org/drawingml/2006/main">
          <a:off x="2722594" y="3314701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00">
              <a:latin typeface="+mj-lt"/>
            </a:rPr>
            <a:t>Over</a:t>
          </a:r>
          <a:r>
            <a:rPr lang="en-US" sz="700" baseline="0">
              <a:latin typeface="+mj-lt"/>
            </a:rPr>
            <a:t> Speed</a:t>
          </a:r>
          <a:endParaRPr lang="en-US" sz="700">
            <a:latin typeface="+mj-lt"/>
          </a:endParaRPr>
        </a:p>
      </cdr:txBody>
    </cdr:sp>
  </cdr:relSizeAnchor>
  <cdr:relSizeAnchor xmlns:cdr="http://schemas.openxmlformats.org/drawingml/2006/chartDrawing">
    <cdr:from>
      <cdr:x>0.49966</cdr:x>
      <cdr:y>0.89173</cdr:y>
    </cdr:from>
    <cdr:to>
      <cdr:x>0.57435</cdr:x>
      <cdr:y>0.97101</cdr:y>
    </cdr:to>
    <cdr:sp macro="" textlink="">
      <cdr:nvSpPr>
        <cdr:cNvPr id="62" name="TextBox 1">
          <a:extLst xmlns:a="http://schemas.openxmlformats.org/drawingml/2006/main">
            <a:ext uri="{FF2B5EF4-FFF2-40B4-BE49-F238E27FC236}">
              <a16:creationId xmlns:a16="http://schemas.microsoft.com/office/drawing/2014/main" id="{85D17845-5060-FC0C-EB8B-B6F1166FD17D}"/>
            </a:ext>
          </a:extLst>
        </cdr:cNvPr>
        <cdr:cNvSpPr txBox="1"/>
      </cdr:nvSpPr>
      <cdr:spPr>
        <a:xfrm xmlns:a="http://schemas.openxmlformats.org/drawingml/2006/main">
          <a:off x="3369538" y="3321051"/>
          <a:ext cx="503703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0.58576</cdr:x>
      <cdr:y>0.89173</cdr:y>
    </cdr:from>
    <cdr:to>
      <cdr:x>0.66045</cdr:x>
      <cdr:y>0.97101</cdr:y>
    </cdr:to>
    <cdr:sp macro="" textlink="">
      <cdr:nvSpPr>
        <cdr:cNvPr id="63" name="TextBox 6">
          <a:extLst xmlns:a="http://schemas.openxmlformats.org/drawingml/2006/main">
            <a:ext uri="{FF2B5EF4-FFF2-40B4-BE49-F238E27FC236}">
              <a16:creationId xmlns:a16="http://schemas.microsoft.com/office/drawing/2014/main" id="{06CD55BD-D4A2-ECD9-F107-EBE07516DEFA}"/>
            </a:ext>
          </a:extLst>
        </cdr:cNvPr>
        <cdr:cNvSpPr txBox="1"/>
      </cdr:nvSpPr>
      <cdr:spPr>
        <a:xfrm xmlns:a="http://schemas.openxmlformats.org/drawingml/2006/main">
          <a:off x="3950163" y="3321051"/>
          <a:ext cx="503703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0.66932</cdr:x>
      <cdr:y>0.89381</cdr:y>
    </cdr:from>
    <cdr:to>
      <cdr:x>0.74401</cdr:x>
      <cdr:y>0.97309</cdr:y>
    </cdr:to>
    <cdr:sp macro="" textlink="">
      <cdr:nvSpPr>
        <cdr:cNvPr id="64" name="TextBox 7">
          <a:extLst xmlns:a="http://schemas.openxmlformats.org/drawingml/2006/main">
            <a:ext uri="{FF2B5EF4-FFF2-40B4-BE49-F238E27FC236}">
              <a16:creationId xmlns:a16="http://schemas.microsoft.com/office/drawing/2014/main" id="{294EE990-244C-68F4-1AD7-0FE3FDF65DC9}"/>
            </a:ext>
          </a:extLst>
        </cdr:cNvPr>
        <cdr:cNvSpPr txBox="1"/>
      </cdr:nvSpPr>
      <cdr:spPr>
        <a:xfrm xmlns:a="http://schemas.openxmlformats.org/drawingml/2006/main">
          <a:off x="4513668" y="3328777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00">
              <a:latin typeface="+mj-lt"/>
            </a:rPr>
            <a:t>Over</a:t>
          </a:r>
          <a:r>
            <a:rPr lang="en-US" sz="700" baseline="0">
              <a:latin typeface="+mj-lt"/>
            </a:rPr>
            <a:t> Speed</a:t>
          </a:r>
        </a:p>
      </cdr:txBody>
    </cdr:sp>
  </cdr:relSizeAnchor>
  <cdr:relSizeAnchor xmlns:cdr="http://schemas.openxmlformats.org/drawingml/2006/chartDrawing">
    <cdr:from>
      <cdr:x>0.76377</cdr:x>
      <cdr:y>0.89173</cdr:y>
    </cdr:from>
    <cdr:to>
      <cdr:x>0.83846</cdr:x>
      <cdr:y>0.97101</cdr:y>
    </cdr:to>
    <cdr:sp macro="" textlink="">
      <cdr:nvSpPr>
        <cdr:cNvPr id="65" name="TextBox 8">
          <a:extLst xmlns:a="http://schemas.openxmlformats.org/drawingml/2006/main">
            <a:ext uri="{FF2B5EF4-FFF2-40B4-BE49-F238E27FC236}">
              <a16:creationId xmlns:a16="http://schemas.microsoft.com/office/drawing/2014/main" id="{4B1B8D77-F335-C184-D574-87A0884AF78C}"/>
            </a:ext>
          </a:extLst>
        </cdr:cNvPr>
        <cdr:cNvSpPr txBox="1"/>
      </cdr:nvSpPr>
      <cdr:spPr>
        <a:xfrm xmlns:a="http://schemas.openxmlformats.org/drawingml/2006/main">
          <a:off x="5150622" y="3321051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latin typeface="+mj-lt"/>
            </a:rPr>
            <a:t>Sudden Braking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0.02015</cdr:x>
      <cdr:y>0.01484</cdr:y>
    </cdr:from>
    <cdr:to>
      <cdr:x>0.97985</cdr:x>
      <cdr:y>0.19153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7FDF5C-9612-91A2-968B-E42D9EA31942}"/>
            </a:ext>
          </a:extLst>
        </cdr:cNvPr>
        <cdr:cNvSpPr txBox="1"/>
      </cdr:nvSpPr>
      <cdr:spPr>
        <a:xfrm xmlns:a="http://schemas.openxmlformats.org/drawingml/2006/main">
          <a:off x="50800" y="51177"/>
          <a:ext cx="2419356" cy="609223"/>
        </a:xfrm>
        <a:prstGeom xmlns:a="http://schemas.openxmlformats.org/drawingml/2006/main" prst="rect">
          <a:avLst/>
        </a:prstGeom>
        <a:solidFill xmlns:a="http://schemas.openxmlformats.org/drawingml/2006/main">
          <a:srgbClr val="AFDC7E"/>
        </a:solidFill>
        <a:ln xmlns:a="http://schemas.openxmlformats.org/drawingml/2006/main" w="6350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Alert Name</a:t>
          </a:r>
          <a:r>
            <a:rPr lang="en-US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:</a:t>
          </a:r>
          <a:endParaRPr lang="en-US" sz="110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endParaRPr lang="en-US">
            <a:effectLst/>
          </a:endParaRPr>
        </a:p>
        <a:p xmlns:a="http://schemas.openxmlformats.org/drawingml/2006/main">
          <a:r>
            <a:rPr lang="en-US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Risk Value   </a:t>
          </a:r>
          <a:r>
            <a:rPr lang="en-US" sz="1100">
              <a:effectLst/>
              <a:latin typeface="+mn-lt"/>
              <a:ea typeface="+mn-ea"/>
              <a:cs typeface="+mn-cs"/>
            </a:rPr>
            <a:t>:</a:t>
          </a:r>
          <a:endParaRPr lang="en-US">
            <a:effectLst/>
          </a:endParaRP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0.35516</cdr:x>
      <cdr:y>0.02412</cdr:y>
    </cdr:from>
    <cdr:to>
      <cdr:x>0.96977</cdr:x>
      <cdr:y>0.08534</cdr:y>
    </cdr:to>
    <cdr:sp macro="" textlink="'Bubble chart data'!$C$14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9D7DDD2-82CE-4297-E0FD-862892FA44F2}"/>
            </a:ext>
          </a:extLst>
        </cdr:cNvPr>
        <cdr:cNvSpPr txBox="1"/>
      </cdr:nvSpPr>
      <cdr:spPr>
        <a:xfrm xmlns:a="http://schemas.openxmlformats.org/drawingml/2006/main">
          <a:off x="895350" y="82551"/>
          <a:ext cx="1549401" cy="20955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0E2CCC-BE88-43AE-91BF-F48B3DE4B1AF}" type="TxLink">
            <a:rPr lang="en-US" sz="11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Sudden Braking</a:t>
          </a:fld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0.35516</cdr:x>
      <cdr:y>0.1243</cdr:y>
    </cdr:from>
    <cdr:to>
      <cdr:x>0.96977</cdr:x>
      <cdr:y>0.18367</cdr:y>
    </cdr:to>
    <cdr:sp macro="" textlink="'Bubble chart data'!$D$14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DAE6C81B-40D1-243D-433E-0B5D52EE5AC0}"/>
            </a:ext>
          </a:extLst>
        </cdr:cNvPr>
        <cdr:cNvSpPr txBox="1"/>
      </cdr:nvSpPr>
      <cdr:spPr>
        <a:xfrm xmlns:a="http://schemas.openxmlformats.org/drawingml/2006/main">
          <a:off x="895350" y="425451"/>
          <a:ext cx="1549401" cy="203200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0B46A63-436D-46F0-AC25-CC41CE24C2CD}" type="TxLink">
            <a:rPr lang="en-US" sz="11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94</a:t>
          </a:fld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0</xdr:row>
      <xdr:rowOff>101600</xdr:rowOff>
    </xdr:from>
    <xdr:to>
      <xdr:col>12</xdr:col>
      <xdr:colOff>158750</xdr:colOff>
      <xdr:row>22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0</xdr:row>
          <xdr:rowOff>66675</xdr:rowOff>
        </xdr:from>
        <xdr:to>
          <xdr:col>12</xdr:col>
          <xdr:colOff>200025</xdr:colOff>
          <xdr:row>22</xdr:row>
          <xdr:rowOff>104775</xdr:rowOff>
        </xdr:to>
        <xdr:sp macro="" textlink="">
          <xdr:nvSpPr>
            <xdr:cNvPr id="3082" name="HideAll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5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12</xdr:row>
          <xdr:rowOff>38100</xdr:rowOff>
        </xdr:from>
        <xdr:to>
          <xdr:col>2</xdr:col>
          <xdr:colOff>590550</xdr:colOff>
          <xdr:row>14</xdr:row>
          <xdr:rowOff>142875</xdr:rowOff>
        </xdr:to>
        <xdr:sp macro="" textlink="">
          <xdr:nvSpPr>
            <xdr:cNvPr id="3073" name="L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11</xdr:row>
          <xdr:rowOff>9525</xdr:rowOff>
        </xdr:from>
        <xdr:to>
          <xdr:col>3</xdr:col>
          <xdr:colOff>600075</xdr:colOff>
          <xdr:row>12</xdr:row>
          <xdr:rowOff>142875</xdr:rowOff>
        </xdr:to>
        <xdr:sp macro="" textlink="">
          <xdr:nvSpPr>
            <xdr:cNvPr id="3074" name="L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7</xdr:row>
          <xdr:rowOff>19050</xdr:rowOff>
        </xdr:from>
        <xdr:to>
          <xdr:col>5</xdr:col>
          <xdr:colOff>133350</xdr:colOff>
          <xdr:row>11</xdr:row>
          <xdr:rowOff>9525</xdr:rowOff>
        </xdr:to>
        <xdr:sp macro="" textlink="">
          <xdr:nvSpPr>
            <xdr:cNvPr id="3075" name="L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6</xdr:row>
          <xdr:rowOff>171450</xdr:rowOff>
        </xdr:from>
        <xdr:to>
          <xdr:col>6</xdr:col>
          <xdr:colOff>123825</xdr:colOff>
          <xdr:row>9</xdr:row>
          <xdr:rowOff>180975</xdr:rowOff>
        </xdr:to>
        <xdr:sp macro="" textlink="">
          <xdr:nvSpPr>
            <xdr:cNvPr id="3076" name="L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11</xdr:row>
          <xdr:rowOff>28575</xdr:rowOff>
        </xdr:from>
        <xdr:to>
          <xdr:col>7</xdr:col>
          <xdr:colOff>133350</xdr:colOff>
          <xdr:row>13</xdr:row>
          <xdr:rowOff>133350</xdr:rowOff>
        </xdr:to>
        <xdr:sp macro="" textlink="">
          <xdr:nvSpPr>
            <xdr:cNvPr id="3077" name="L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7</xdr:row>
          <xdr:rowOff>66675</xdr:rowOff>
        </xdr:from>
        <xdr:to>
          <xdr:col>8</xdr:col>
          <xdr:colOff>123825</xdr:colOff>
          <xdr:row>9</xdr:row>
          <xdr:rowOff>142875</xdr:rowOff>
        </xdr:to>
        <xdr:sp macro="" textlink="">
          <xdr:nvSpPr>
            <xdr:cNvPr id="3078" name="L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5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8</xdr:row>
          <xdr:rowOff>66675</xdr:rowOff>
        </xdr:from>
        <xdr:to>
          <xdr:col>9</xdr:col>
          <xdr:colOff>276225</xdr:colOff>
          <xdr:row>12</xdr:row>
          <xdr:rowOff>9525</xdr:rowOff>
        </xdr:to>
        <xdr:sp macro="" textlink="">
          <xdr:nvSpPr>
            <xdr:cNvPr id="3079" name="L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5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352425</xdr:colOff>
          <xdr:row>11</xdr:row>
          <xdr:rowOff>0</xdr:rowOff>
        </xdr:from>
        <xdr:to>
          <xdr:col>10</xdr:col>
          <xdr:colOff>133350</xdr:colOff>
          <xdr:row>12</xdr:row>
          <xdr:rowOff>123825</xdr:rowOff>
        </xdr:to>
        <xdr:sp macro="" textlink="">
          <xdr:nvSpPr>
            <xdr:cNvPr id="3080" name="L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0</xdr:colOff>
      <xdr:row>7</xdr:row>
      <xdr:rowOff>0</xdr:rowOff>
    </xdr:from>
    <xdr:to>
      <xdr:col>14</xdr:col>
      <xdr:colOff>482600</xdr:colOff>
      <xdr:row>24</xdr:row>
      <xdr:rowOff>31750</xdr:rowOff>
    </xdr:to>
    <xdr:graphicFrame macro="">
      <xdr:nvGraphicFramePr>
        <xdr:cNvPr id="5" name="Happy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0.0791</cdr:x>
      <cdr:y>0.88492</cdr:y>
    </cdr:from>
    <cdr:to>
      <cdr:x>0.9774</cdr:x>
      <cdr:y>0.88492</cdr:y>
    </cdr:to>
    <cdr:cxnSp macro="">
      <cdr:nvCxnSpPr>
        <cdr:cNvPr id="53" name="Straight Connector 52">
          <a:extLst xmlns:a="http://schemas.openxmlformats.org/drawingml/2006/main">
            <a:ext uri="{FF2B5EF4-FFF2-40B4-BE49-F238E27FC236}">
              <a16:creationId xmlns:a16="http://schemas.microsoft.com/office/drawing/2014/main" id="{721650A2-2A2A-61F1-27F2-CBC255E13646}"/>
            </a:ext>
          </a:extLst>
        </cdr:cNvPr>
        <cdr:cNvCxnSpPr/>
      </cdr:nvCxnSpPr>
      <cdr:spPr>
        <a:xfrm xmlns:a="http://schemas.openxmlformats.org/drawingml/2006/main">
          <a:off x="533400" y="3295688"/>
          <a:ext cx="6057900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>
              <a:lumMod val="65000"/>
              <a:lumOff val="35000"/>
            </a:schemeClr>
          </a:solidFill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0.13559</cdr:x>
      <cdr:y>0.89173</cdr:y>
    </cdr:from>
    <cdr:to>
      <cdr:x>0.21029</cdr:x>
      <cdr:y>0.97101</cdr:y>
    </cdr:to>
    <cdr:sp macro="" textlink="">
      <cdr:nvSpPr>
        <cdr:cNvPr id="58" name="TextBox 1">
          <a:extLst xmlns:a="http://schemas.openxmlformats.org/drawingml/2006/main">
            <a:ext uri="{FF2B5EF4-FFF2-40B4-BE49-F238E27FC236}">
              <a16:creationId xmlns:a16="http://schemas.microsoft.com/office/drawing/2014/main" id="{3D837734-FBE3-4F56-BE0E-C6C40D327687}"/>
            </a:ext>
          </a:extLst>
        </cdr:cNvPr>
        <cdr:cNvSpPr txBox="1"/>
      </cdr:nvSpPr>
      <cdr:spPr>
        <a:xfrm xmlns:a="http://schemas.openxmlformats.org/drawingml/2006/main">
          <a:off x="914400" y="3321051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solidFill>
                <a:schemeClr val="tx1"/>
              </a:solidFill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0.22169</cdr:x>
      <cdr:y>0.89173</cdr:y>
    </cdr:from>
    <cdr:to>
      <cdr:x>0.29638</cdr:x>
      <cdr:y>0.97101</cdr:y>
    </cdr:to>
    <cdr:sp macro="" textlink="">
      <cdr:nvSpPr>
        <cdr:cNvPr id="59" name="TextBox 1">
          <a:extLst xmlns:a="http://schemas.openxmlformats.org/drawingml/2006/main">
            <a:ext uri="{FF2B5EF4-FFF2-40B4-BE49-F238E27FC236}">
              <a16:creationId xmlns:a16="http://schemas.microsoft.com/office/drawing/2014/main" id="{68C4257F-E769-C3C9-7D00-062CD85C8CB6}"/>
            </a:ext>
          </a:extLst>
        </cdr:cNvPr>
        <cdr:cNvSpPr txBox="1"/>
      </cdr:nvSpPr>
      <cdr:spPr>
        <a:xfrm xmlns:a="http://schemas.openxmlformats.org/drawingml/2006/main">
          <a:off x="1495025" y="3321051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latin typeface="+mj-lt"/>
            </a:rPr>
            <a:t>Sudden Braking</a:t>
          </a:r>
        </a:p>
      </cdr:txBody>
    </cdr:sp>
  </cdr:relSizeAnchor>
  <cdr:relSizeAnchor xmlns:cdr="http://schemas.openxmlformats.org/drawingml/2006/chartDrawing">
    <cdr:from>
      <cdr:x>0.29835</cdr:x>
      <cdr:y>0.89344</cdr:y>
    </cdr:from>
    <cdr:to>
      <cdr:x>0.40507</cdr:x>
      <cdr:y>0.97272</cdr:y>
    </cdr:to>
    <cdr:sp macro="" textlink="">
      <cdr:nvSpPr>
        <cdr:cNvPr id="60" name="TextBox 1">
          <a:extLst xmlns:a="http://schemas.openxmlformats.org/drawingml/2006/main">
            <a:ext uri="{FF2B5EF4-FFF2-40B4-BE49-F238E27FC236}">
              <a16:creationId xmlns:a16="http://schemas.microsoft.com/office/drawing/2014/main" id="{B2550AE5-2976-2C22-310D-4B3A01ED6161}"/>
            </a:ext>
          </a:extLst>
        </cdr:cNvPr>
        <cdr:cNvSpPr txBox="1"/>
      </cdr:nvSpPr>
      <cdr:spPr>
        <a:xfrm xmlns:a="http://schemas.openxmlformats.org/drawingml/2006/main">
          <a:off x="2104814" y="3568533"/>
          <a:ext cx="752894" cy="316657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00">
              <a:latin typeface="+mj-lt"/>
            </a:rPr>
            <a:t>Force</a:t>
          </a:r>
          <a:r>
            <a:rPr lang="en-US" sz="700" baseline="0">
              <a:latin typeface="+mj-lt"/>
            </a:rPr>
            <a:t> Acceleration</a:t>
          </a:r>
          <a:endParaRPr lang="en-US" sz="700">
            <a:latin typeface="+mj-lt"/>
          </a:endParaRPr>
        </a:p>
      </cdr:txBody>
    </cdr:sp>
  </cdr:relSizeAnchor>
  <cdr:relSizeAnchor xmlns:cdr="http://schemas.openxmlformats.org/drawingml/2006/chartDrawing">
    <cdr:from>
      <cdr:x>0.40372</cdr:x>
      <cdr:y>0.89003</cdr:y>
    </cdr:from>
    <cdr:to>
      <cdr:x>0.47842</cdr:x>
      <cdr:y>0.96931</cdr:y>
    </cdr:to>
    <cdr:sp macro="" textlink="">
      <cdr:nvSpPr>
        <cdr:cNvPr id="61" name="TextBox 1">
          <a:extLst xmlns:a="http://schemas.openxmlformats.org/drawingml/2006/main">
            <a:ext uri="{FF2B5EF4-FFF2-40B4-BE49-F238E27FC236}">
              <a16:creationId xmlns:a16="http://schemas.microsoft.com/office/drawing/2014/main" id="{F74DA5B9-488E-AFCF-D37E-7DFD9BBEEFB9}"/>
            </a:ext>
          </a:extLst>
        </cdr:cNvPr>
        <cdr:cNvSpPr txBox="1"/>
      </cdr:nvSpPr>
      <cdr:spPr>
        <a:xfrm xmlns:a="http://schemas.openxmlformats.org/drawingml/2006/main">
          <a:off x="2722594" y="3314701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00">
              <a:latin typeface="+mj-lt"/>
            </a:rPr>
            <a:t>Over</a:t>
          </a:r>
          <a:r>
            <a:rPr lang="en-US" sz="700" baseline="0">
              <a:latin typeface="+mj-lt"/>
            </a:rPr>
            <a:t> Speed</a:t>
          </a:r>
          <a:endParaRPr lang="en-US" sz="700">
            <a:latin typeface="+mj-lt"/>
          </a:endParaRPr>
        </a:p>
      </cdr:txBody>
    </cdr:sp>
  </cdr:relSizeAnchor>
  <cdr:relSizeAnchor xmlns:cdr="http://schemas.openxmlformats.org/drawingml/2006/chartDrawing">
    <cdr:from>
      <cdr:x>0.49966</cdr:x>
      <cdr:y>0.89173</cdr:y>
    </cdr:from>
    <cdr:to>
      <cdr:x>0.57435</cdr:x>
      <cdr:y>0.97101</cdr:y>
    </cdr:to>
    <cdr:sp macro="" textlink="">
      <cdr:nvSpPr>
        <cdr:cNvPr id="62" name="TextBox 1">
          <a:extLst xmlns:a="http://schemas.openxmlformats.org/drawingml/2006/main">
            <a:ext uri="{FF2B5EF4-FFF2-40B4-BE49-F238E27FC236}">
              <a16:creationId xmlns:a16="http://schemas.microsoft.com/office/drawing/2014/main" id="{85D17845-5060-FC0C-EB8B-B6F1166FD17D}"/>
            </a:ext>
          </a:extLst>
        </cdr:cNvPr>
        <cdr:cNvSpPr txBox="1"/>
      </cdr:nvSpPr>
      <cdr:spPr>
        <a:xfrm xmlns:a="http://schemas.openxmlformats.org/drawingml/2006/main">
          <a:off x="3369538" y="3321051"/>
          <a:ext cx="503703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0.58576</cdr:x>
      <cdr:y>0.89173</cdr:y>
    </cdr:from>
    <cdr:to>
      <cdr:x>0.66045</cdr:x>
      <cdr:y>0.97101</cdr:y>
    </cdr:to>
    <cdr:sp macro="" textlink="">
      <cdr:nvSpPr>
        <cdr:cNvPr id="63" name="TextBox 6">
          <a:extLst xmlns:a="http://schemas.openxmlformats.org/drawingml/2006/main">
            <a:ext uri="{FF2B5EF4-FFF2-40B4-BE49-F238E27FC236}">
              <a16:creationId xmlns:a16="http://schemas.microsoft.com/office/drawing/2014/main" id="{06CD55BD-D4A2-ECD9-F107-EBE07516DEFA}"/>
            </a:ext>
          </a:extLst>
        </cdr:cNvPr>
        <cdr:cNvSpPr txBox="1"/>
      </cdr:nvSpPr>
      <cdr:spPr>
        <a:xfrm xmlns:a="http://schemas.openxmlformats.org/drawingml/2006/main">
          <a:off x="3950163" y="3321051"/>
          <a:ext cx="503703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latin typeface="+mj-lt"/>
            </a:rPr>
            <a:t>Curve</a:t>
          </a:r>
        </a:p>
      </cdr:txBody>
    </cdr:sp>
  </cdr:relSizeAnchor>
  <cdr:relSizeAnchor xmlns:cdr="http://schemas.openxmlformats.org/drawingml/2006/chartDrawing">
    <cdr:from>
      <cdr:x>0.66932</cdr:x>
      <cdr:y>0.89381</cdr:y>
    </cdr:from>
    <cdr:to>
      <cdr:x>0.74401</cdr:x>
      <cdr:y>0.97309</cdr:y>
    </cdr:to>
    <cdr:sp macro="" textlink="">
      <cdr:nvSpPr>
        <cdr:cNvPr id="64" name="TextBox 7">
          <a:extLst xmlns:a="http://schemas.openxmlformats.org/drawingml/2006/main">
            <a:ext uri="{FF2B5EF4-FFF2-40B4-BE49-F238E27FC236}">
              <a16:creationId xmlns:a16="http://schemas.microsoft.com/office/drawing/2014/main" id="{294EE990-244C-68F4-1AD7-0FE3FDF65DC9}"/>
            </a:ext>
          </a:extLst>
        </cdr:cNvPr>
        <cdr:cNvSpPr txBox="1"/>
      </cdr:nvSpPr>
      <cdr:spPr>
        <a:xfrm xmlns:a="http://schemas.openxmlformats.org/drawingml/2006/main">
          <a:off x="4513668" y="3328777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700">
              <a:latin typeface="+mj-lt"/>
            </a:rPr>
            <a:t>Over</a:t>
          </a:r>
          <a:r>
            <a:rPr lang="en-US" sz="700" baseline="0">
              <a:latin typeface="+mj-lt"/>
            </a:rPr>
            <a:t> Speed</a:t>
          </a:r>
        </a:p>
      </cdr:txBody>
    </cdr:sp>
  </cdr:relSizeAnchor>
  <cdr:relSizeAnchor xmlns:cdr="http://schemas.openxmlformats.org/drawingml/2006/chartDrawing">
    <cdr:from>
      <cdr:x>0.76377</cdr:x>
      <cdr:y>0.89173</cdr:y>
    </cdr:from>
    <cdr:to>
      <cdr:x>0.83846</cdr:x>
      <cdr:y>0.97101</cdr:y>
    </cdr:to>
    <cdr:sp macro="" textlink="">
      <cdr:nvSpPr>
        <cdr:cNvPr id="65" name="TextBox 8">
          <a:extLst xmlns:a="http://schemas.openxmlformats.org/drawingml/2006/main">
            <a:ext uri="{FF2B5EF4-FFF2-40B4-BE49-F238E27FC236}">
              <a16:creationId xmlns:a16="http://schemas.microsoft.com/office/drawing/2014/main" id="{4B1B8D77-F335-C184-D574-87A0884AF78C}"/>
            </a:ext>
          </a:extLst>
        </cdr:cNvPr>
        <cdr:cNvSpPr txBox="1"/>
      </cdr:nvSpPr>
      <cdr:spPr>
        <a:xfrm xmlns:a="http://schemas.openxmlformats.org/drawingml/2006/main">
          <a:off x="5150622" y="3321051"/>
          <a:ext cx="503702" cy="295276"/>
        </a:xfrm>
        <a:prstGeom xmlns:a="http://schemas.openxmlformats.org/drawingml/2006/main" prst="rect">
          <a:avLst/>
        </a:prstGeom>
        <a:ln xmlns:a="http://schemas.openxmlformats.org/drawingml/2006/main" w="3810">
          <a:noFill/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700">
              <a:latin typeface="+mj-lt"/>
            </a:rPr>
            <a:t>Sudden Braking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0.02015</cdr:x>
      <cdr:y>0.01484</cdr:y>
    </cdr:from>
    <cdr:to>
      <cdr:x>0.97985</cdr:x>
      <cdr:y>0.20502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87FDF5C-9612-91A2-968B-E42D9EA31942}"/>
            </a:ext>
          </a:extLst>
        </cdr:cNvPr>
        <cdr:cNvSpPr txBox="1"/>
      </cdr:nvSpPr>
      <cdr:spPr>
        <a:xfrm xmlns:a="http://schemas.openxmlformats.org/drawingml/2006/main">
          <a:off x="43632" y="45044"/>
          <a:ext cx="2078086" cy="577256"/>
        </a:xfrm>
        <a:prstGeom xmlns:a="http://schemas.openxmlformats.org/drawingml/2006/main" prst="rect">
          <a:avLst/>
        </a:prstGeom>
        <a:solidFill xmlns:a="http://schemas.openxmlformats.org/drawingml/2006/main">
          <a:srgbClr val="AFDC7E"/>
        </a:solidFill>
        <a:ln xmlns:a="http://schemas.openxmlformats.org/drawingml/2006/main" w="6350">
          <a:solidFill>
            <a:schemeClr val="tx1"/>
          </a:solidFill>
        </a:ln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Alert Name</a:t>
          </a:r>
          <a:r>
            <a:rPr lang="en-US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:</a:t>
          </a:r>
          <a:endParaRPr lang="en-US" sz="1100">
            <a:effectLst/>
            <a:latin typeface="+mn-lt"/>
            <a:ea typeface="+mn-ea"/>
            <a:cs typeface="+mn-cs"/>
          </a:endParaRPr>
        </a:p>
        <a:p xmlns:a="http://schemas.openxmlformats.org/drawingml/2006/main">
          <a:endParaRPr lang="en-US">
            <a:effectLst/>
          </a:endParaRPr>
        </a:p>
        <a:p xmlns:a="http://schemas.openxmlformats.org/drawingml/2006/main">
          <a:r>
            <a:rPr lang="en-US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Risk Value   </a:t>
          </a:r>
          <a:r>
            <a:rPr lang="en-US" sz="1100">
              <a:effectLst/>
              <a:latin typeface="+mn-lt"/>
              <a:ea typeface="+mn-ea"/>
              <a:cs typeface="+mn-cs"/>
            </a:rPr>
            <a:t>:</a:t>
          </a:r>
          <a:endParaRPr lang="en-US">
            <a:effectLst/>
          </a:endParaRP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0.35516</cdr:x>
      <cdr:y>0.02613</cdr:y>
    </cdr:from>
    <cdr:to>
      <cdr:x>0.96977</cdr:x>
      <cdr:y>0.09438</cdr:y>
    </cdr:to>
    <cdr:sp macro="" textlink="'Bubble chart data'!$C$14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9D7DDD2-82CE-4297-E0FD-862892FA44F2}"/>
            </a:ext>
          </a:extLst>
        </cdr:cNvPr>
        <cdr:cNvSpPr txBox="1"/>
      </cdr:nvSpPr>
      <cdr:spPr>
        <a:xfrm xmlns:a="http://schemas.openxmlformats.org/drawingml/2006/main">
          <a:off x="857001" y="82624"/>
          <a:ext cx="1483054" cy="21582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8D0E2CCC-BE88-43AE-91BF-F48B3DE4B1AF}" type="TxLink">
            <a:rPr lang="en-US" sz="11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Sudden Braking</a:t>
          </a:fld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0.35516</cdr:x>
      <cdr:y>0.13476</cdr:y>
    </cdr:from>
    <cdr:to>
      <cdr:x>0.96977</cdr:x>
      <cdr:y>0.19413</cdr:y>
    </cdr:to>
    <cdr:sp macro="" textlink="'Bubble chart data'!$D$14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DAE6C81B-40D1-243D-433E-0B5D52EE5AC0}"/>
            </a:ext>
          </a:extLst>
        </cdr:cNvPr>
        <cdr:cNvSpPr txBox="1"/>
      </cdr:nvSpPr>
      <cdr:spPr>
        <a:xfrm xmlns:a="http://schemas.openxmlformats.org/drawingml/2006/main">
          <a:off x="769046" y="409038"/>
          <a:ext cx="1330845" cy="180206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0B46A63-436D-46F0-AC25-CC41CE24C2CD}" type="TxLink">
            <a:rPr lang="en-US" sz="11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94</a:t>
          </a:fld>
          <a:endParaRPr lang="en-US" sz="1100">
            <a:solidFill>
              <a:schemeClr val="tx1">
                <a:lumMod val="65000"/>
                <a:lumOff val="35000"/>
              </a:schemeClr>
            </a:solidFill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2</xdr:row>
      <xdr:rowOff>104773</xdr:rowOff>
    </xdr:from>
    <xdr:to>
      <xdr:col>14</xdr:col>
      <xdr:colOff>581025</xdr:colOff>
      <xdr:row>20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0.02041</cdr:x>
      <cdr:y>0.01183</cdr:y>
    </cdr:from>
    <cdr:to>
      <cdr:x>0.98299</cdr:x>
      <cdr:y>0.34358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1C827A7-21B7-D4F3-F180-95AA5A9686E8}"/>
            </a:ext>
          </a:extLst>
        </cdr:cNvPr>
        <cdr:cNvSpPr txBox="1"/>
      </cdr:nvSpPr>
      <cdr:spPr>
        <a:xfrm xmlns:a="http://schemas.openxmlformats.org/drawingml/2006/main">
          <a:off x="54045" y="40340"/>
          <a:ext cx="2548863" cy="113123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  <a:ln xmlns:a="http://schemas.openxmlformats.org/drawingml/2006/main" w="6350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Alert Name               </a:t>
          </a:r>
        </a:p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Time</a:t>
          </a:r>
          <a:endParaRPr lang="en-IN" sz="1100" baseline="0">
            <a:solidFill>
              <a:schemeClr val="tx1">
                <a:lumMod val="85000"/>
                <a:lumOff val="15000"/>
              </a:schemeClr>
            </a:solidFill>
          </a:endParaRP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Zipcode                     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Risk Style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Driver State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Driving Style</a:t>
          </a:r>
        </a:p>
        <a:p xmlns:a="http://schemas.openxmlformats.org/drawingml/2006/main">
          <a:endParaRPr lang="en-IN" sz="1100">
            <a:solidFill>
              <a:schemeClr val="tx1">
                <a:lumMod val="85000"/>
                <a:lumOff val="1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0.33762</cdr:x>
      <cdr:y>0.1257</cdr:y>
    </cdr:from>
    <cdr:to>
      <cdr:x>0.92446</cdr:x>
      <cdr:y>0.1676</cdr:y>
    </cdr:to>
    <cdr:sp macro="" textlink="'Heat map data'!$J$14">
      <cdr:nvSpPr>
        <cdr:cNvPr id="4" name="TextBox 8">
          <a:extLst xmlns:a="http://schemas.openxmlformats.org/drawingml/2006/main">
            <a:ext uri="{FF2B5EF4-FFF2-40B4-BE49-F238E27FC236}">
              <a16:creationId xmlns:a16="http://schemas.microsoft.com/office/drawing/2014/main" id="{9B705C2A-B0FB-2F00-016E-B3209C2D55A3}"/>
            </a:ext>
          </a:extLst>
        </cdr:cNvPr>
        <cdr:cNvSpPr txBox="1"/>
      </cdr:nvSpPr>
      <cdr:spPr>
        <a:xfrm xmlns:a="http://schemas.openxmlformats.org/drawingml/2006/main">
          <a:off x="894010" y="428627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ABDBE3B-0C8B-451A-A3A9-642D499E884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638459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0.28305</cdr:y>
    </cdr:from>
    <cdr:to>
      <cdr:x>0.92617</cdr:x>
      <cdr:y>0.32495</cdr:y>
    </cdr:to>
    <cdr:sp macro="" textlink="'Heat map data'!$M$14">
      <cdr:nvSpPr>
        <cdr:cNvPr id="6" name="TextBox 8">
          <a:extLst xmlns:a="http://schemas.openxmlformats.org/drawingml/2006/main">
            <a:ext uri="{FF2B5EF4-FFF2-40B4-BE49-F238E27FC236}">
              <a16:creationId xmlns:a16="http://schemas.microsoft.com/office/drawing/2014/main" id="{D4ED0C82-289F-DE13-00A1-E5F68ADAB39F}"/>
            </a:ext>
          </a:extLst>
        </cdr:cNvPr>
        <cdr:cNvSpPr txBox="1"/>
      </cdr:nvSpPr>
      <cdr:spPr>
        <a:xfrm xmlns:a="http://schemas.openxmlformats.org/drawingml/2006/main">
          <a:off x="898525" y="965200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5A470F8-3500-49A4-8509-DB41D9E9DB12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Unknown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0.22998</cdr:y>
    </cdr:from>
    <cdr:to>
      <cdr:x>0.92617</cdr:x>
      <cdr:y>0.27188</cdr:y>
    </cdr:to>
    <cdr:sp macro="" textlink="'Heat map data'!$L$14">
      <cdr:nvSpPr>
        <cdr:cNvPr id="7" name="TextBox 8">
          <a:extLst xmlns:a="http://schemas.openxmlformats.org/drawingml/2006/main">
            <a:ext uri="{FF2B5EF4-FFF2-40B4-BE49-F238E27FC236}">
              <a16:creationId xmlns:a16="http://schemas.microsoft.com/office/drawing/2014/main" id="{D4ED0C82-289F-DE13-00A1-E5F68ADAB39F}"/>
            </a:ext>
          </a:extLst>
        </cdr:cNvPr>
        <cdr:cNvSpPr txBox="1"/>
      </cdr:nvSpPr>
      <cdr:spPr>
        <a:xfrm xmlns:a="http://schemas.openxmlformats.org/drawingml/2006/main">
          <a:off x="898525" y="784225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7A4775D-DD18-47AF-BA1D-0E33C0BBE252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Unknown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0.17691</cdr:y>
    </cdr:from>
    <cdr:to>
      <cdr:x>0.92617</cdr:x>
      <cdr:y>0.21881</cdr:y>
    </cdr:to>
    <cdr:sp macro="" textlink="'Heat map data'!$K$14">
      <cdr:nvSpPr>
        <cdr:cNvPr id="8" name="TextBox 8">
          <a:extLst xmlns:a="http://schemas.openxmlformats.org/drawingml/2006/main">
            <a:ext uri="{FF2B5EF4-FFF2-40B4-BE49-F238E27FC236}">
              <a16:creationId xmlns:a16="http://schemas.microsoft.com/office/drawing/2014/main" id="{D4ED0C82-289F-DE13-00A1-E5F68ADAB39F}"/>
            </a:ext>
          </a:extLst>
        </cdr:cNvPr>
        <cdr:cNvSpPr txBox="1"/>
      </cdr:nvSpPr>
      <cdr:spPr>
        <a:xfrm xmlns:a="http://schemas.openxmlformats.org/drawingml/2006/main">
          <a:off x="898525" y="603250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C53DB8A-DC53-46D4-93B3-F718E20503D2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Anticipation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0.02607</cdr:y>
    </cdr:from>
    <cdr:to>
      <cdr:x>0.92617</cdr:x>
      <cdr:y>0.06797</cdr:y>
    </cdr:to>
    <cdr:sp macro="" textlink="'Heat map data'!$C$14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EE0F6C9E-A0F3-40A5-4B34-4095C2596DAC}"/>
            </a:ext>
          </a:extLst>
        </cdr:cNvPr>
        <cdr:cNvSpPr txBox="1"/>
      </cdr:nvSpPr>
      <cdr:spPr>
        <a:xfrm xmlns:a="http://schemas.openxmlformats.org/drawingml/2006/main">
          <a:off x="898525" y="88900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D3C081B-85F7-4670-9035-DB6E55E77AAA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Over Speed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0.07635</cdr:y>
    </cdr:from>
    <cdr:to>
      <cdr:x>0.92617</cdr:x>
      <cdr:y>0.11825</cdr:y>
    </cdr:to>
    <cdr:sp macro="" textlink="'Heat map data'!$E$14">
      <cdr:nvSpPr>
        <cdr:cNvPr id="10" name="TextBox 8">
          <a:extLst xmlns:a="http://schemas.openxmlformats.org/drawingml/2006/main">
            <a:ext uri="{FF2B5EF4-FFF2-40B4-BE49-F238E27FC236}">
              <a16:creationId xmlns:a16="http://schemas.microsoft.com/office/drawing/2014/main" id="{EE0F6C9E-A0F3-40A5-4B34-4095C2596DAC}"/>
            </a:ext>
          </a:extLst>
        </cdr:cNvPr>
        <cdr:cNvSpPr txBox="1"/>
      </cdr:nvSpPr>
      <cdr:spPr>
        <a:xfrm xmlns:a="http://schemas.openxmlformats.org/drawingml/2006/main">
          <a:off x="898525" y="260350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443DB3F-673C-4784-A8EE-6FD59041A1C0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01:27:00 PM</a:t>
          </a:fld>
          <a:endParaRPr lang="en-IN" sz="10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0</xdr:row>
          <xdr:rowOff>152400</xdr:rowOff>
        </xdr:from>
        <xdr:to>
          <xdr:col>10</xdr:col>
          <xdr:colOff>257175</xdr:colOff>
          <xdr:row>10</xdr:row>
          <xdr:rowOff>85725</xdr:rowOff>
        </xdr:to>
        <xdr:sp macro="" textlink="">
          <xdr:nvSpPr>
            <xdr:cNvPr id="10251" name="HideAll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8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5</xdr:row>
          <xdr:rowOff>180975</xdr:rowOff>
        </xdr:to>
        <xdr:sp macro="" textlink="">
          <xdr:nvSpPr>
            <xdr:cNvPr id="10242" name="L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5</xdr:row>
          <xdr:rowOff>9525</xdr:rowOff>
        </xdr:from>
        <xdr:to>
          <xdr:col>4</xdr:col>
          <xdr:colOff>0</xdr:colOff>
          <xdr:row>5</xdr:row>
          <xdr:rowOff>171450</xdr:rowOff>
        </xdr:to>
        <xdr:sp macro="" textlink="">
          <xdr:nvSpPr>
            <xdr:cNvPr id="10243" name="L2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</xdr:rowOff>
        </xdr:from>
        <xdr:to>
          <xdr:col>5</xdr:col>
          <xdr:colOff>9525</xdr:colOff>
          <xdr:row>5</xdr:row>
          <xdr:rowOff>161925</xdr:rowOff>
        </xdr:to>
        <xdr:sp macro="" textlink="">
          <xdr:nvSpPr>
            <xdr:cNvPr id="10244" name="L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8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6</xdr:row>
          <xdr:rowOff>171450</xdr:rowOff>
        </xdr:to>
        <xdr:sp macro="" textlink="">
          <xdr:nvSpPr>
            <xdr:cNvPr id="10245" name="L4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8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6</xdr:row>
          <xdr:rowOff>0</xdr:rowOff>
        </xdr:from>
        <xdr:to>
          <xdr:col>7</xdr:col>
          <xdr:colOff>0</xdr:colOff>
          <xdr:row>6</xdr:row>
          <xdr:rowOff>180975</xdr:rowOff>
        </xdr:to>
        <xdr:sp macro="" textlink="">
          <xdr:nvSpPr>
            <xdr:cNvPr id="10246" name="L5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8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6</xdr:row>
          <xdr:rowOff>0</xdr:rowOff>
        </xdr:from>
        <xdr:to>
          <xdr:col>8</xdr:col>
          <xdr:colOff>0</xdr:colOff>
          <xdr:row>6</xdr:row>
          <xdr:rowOff>171450</xdr:rowOff>
        </xdr:to>
        <xdr:sp macro="" textlink="">
          <xdr:nvSpPr>
            <xdr:cNvPr id="10247" name="L6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8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7</xdr:row>
          <xdr:rowOff>0</xdr:rowOff>
        </xdr:from>
        <xdr:to>
          <xdr:col>9</xdr:col>
          <xdr:colOff>0</xdr:colOff>
          <xdr:row>7</xdr:row>
          <xdr:rowOff>180975</xdr:rowOff>
        </xdr:to>
        <xdr:sp macro="" textlink="">
          <xdr:nvSpPr>
            <xdr:cNvPr id="10248" name="L7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8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9</xdr:col>
          <xdr:colOff>790575</xdr:colOff>
          <xdr:row>7</xdr:row>
          <xdr:rowOff>171450</xdr:rowOff>
        </xdr:to>
        <xdr:sp macro="" textlink="">
          <xdr:nvSpPr>
            <xdr:cNvPr id="10249" name="L8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8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0</xdr:colOff>
      <xdr:row>4</xdr:row>
      <xdr:rowOff>0</xdr:rowOff>
    </xdr:from>
    <xdr:to>
      <xdr:col>13</xdr:col>
      <xdr:colOff>533400</xdr:colOff>
      <xdr:row>21</xdr:row>
      <xdr:rowOff>171451</xdr:rowOff>
    </xdr:to>
    <xdr:graphicFrame macro="">
      <xdr:nvGraphicFramePr>
        <xdr:cNvPr id="3" name="Happy" hidden="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0.02041</cdr:x>
      <cdr:y>0.01183</cdr:y>
    </cdr:from>
    <cdr:to>
      <cdr:x>0.98299</cdr:x>
      <cdr:y>0.34358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21C827A7-21B7-D4F3-F180-95AA5A9686E8}"/>
            </a:ext>
          </a:extLst>
        </cdr:cNvPr>
        <cdr:cNvSpPr txBox="1"/>
      </cdr:nvSpPr>
      <cdr:spPr>
        <a:xfrm xmlns:a="http://schemas.openxmlformats.org/drawingml/2006/main">
          <a:off x="54045" y="40340"/>
          <a:ext cx="2548863" cy="113123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  <a:ln xmlns:a="http://schemas.openxmlformats.org/drawingml/2006/main" w="6350">
          <a:solidFill>
            <a:sysClr val="windowText" lastClr="000000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Alert Name               </a:t>
          </a:r>
        </a:p>
        <a:p xmlns:a="http://schemas.openxmlformats.org/drawingml/2006/main">
          <a:r>
            <a:rPr lang="en-IN" sz="1100">
              <a:solidFill>
                <a:schemeClr val="tx1">
                  <a:lumMod val="85000"/>
                  <a:lumOff val="15000"/>
                </a:schemeClr>
              </a:solidFill>
            </a:rPr>
            <a:t>Time</a:t>
          </a:r>
          <a:endParaRPr lang="en-IN" sz="1100" baseline="0">
            <a:solidFill>
              <a:schemeClr val="tx1">
                <a:lumMod val="85000"/>
                <a:lumOff val="15000"/>
              </a:schemeClr>
            </a:solidFill>
          </a:endParaRP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Zipcode                     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Risk Style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Driver State</a:t>
          </a:r>
        </a:p>
        <a:p xmlns:a="http://schemas.openxmlformats.org/drawingml/2006/main">
          <a:r>
            <a:rPr lang="en-IN" sz="1100" baseline="0">
              <a:solidFill>
                <a:schemeClr val="tx1">
                  <a:lumMod val="85000"/>
                  <a:lumOff val="15000"/>
                </a:schemeClr>
              </a:solidFill>
            </a:rPr>
            <a:t>Driving Style</a:t>
          </a:r>
        </a:p>
        <a:p xmlns:a="http://schemas.openxmlformats.org/drawingml/2006/main">
          <a:endParaRPr lang="en-IN" sz="1100">
            <a:solidFill>
              <a:schemeClr val="tx1">
                <a:lumMod val="85000"/>
                <a:lumOff val="15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0.33762</cdr:x>
      <cdr:y>0.1257</cdr:y>
    </cdr:from>
    <cdr:to>
      <cdr:x>0.92446</cdr:x>
      <cdr:y>0.1676</cdr:y>
    </cdr:to>
    <cdr:sp macro="" textlink="'Heat map data'!$J$14">
      <cdr:nvSpPr>
        <cdr:cNvPr id="4" name="TextBox 8">
          <a:extLst xmlns:a="http://schemas.openxmlformats.org/drawingml/2006/main">
            <a:ext uri="{FF2B5EF4-FFF2-40B4-BE49-F238E27FC236}">
              <a16:creationId xmlns:a16="http://schemas.microsoft.com/office/drawing/2014/main" id="{9B705C2A-B0FB-2F00-016E-B3209C2D55A3}"/>
            </a:ext>
          </a:extLst>
        </cdr:cNvPr>
        <cdr:cNvSpPr txBox="1"/>
      </cdr:nvSpPr>
      <cdr:spPr>
        <a:xfrm xmlns:a="http://schemas.openxmlformats.org/drawingml/2006/main">
          <a:off x="894010" y="428627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DABDBE3B-0C8B-451A-A3A9-642D499E884E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638459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0.28305</cdr:y>
    </cdr:from>
    <cdr:to>
      <cdr:x>0.92617</cdr:x>
      <cdr:y>0.32495</cdr:y>
    </cdr:to>
    <cdr:sp macro="" textlink="'Heat map data'!$M$14">
      <cdr:nvSpPr>
        <cdr:cNvPr id="6" name="TextBox 8">
          <a:extLst xmlns:a="http://schemas.openxmlformats.org/drawingml/2006/main">
            <a:ext uri="{FF2B5EF4-FFF2-40B4-BE49-F238E27FC236}">
              <a16:creationId xmlns:a16="http://schemas.microsoft.com/office/drawing/2014/main" id="{D4ED0C82-289F-DE13-00A1-E5F68ADAB39F}"/>
            </a:ext>
          </a:extLst>
        </cdr:cNvPr>
        <cdr:cNvSpPr txBox="1"/>
      </cdr:nvSpPr>
      <cdr:spPr>
        <a:xfrm xmlns:a="http://schemas.openxmlformats.org/drawingml/2006/main">
          <a:off x="898525" y="965200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5A470F8-3500-49A4-8509-DB41D9E9DB12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Unknown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0.22998</cdr:y>
    </cdr:from>
    <cdr:to>
      <cdr:x>0.92617</cdr:x>
      <cdr:y>0.27188</cdr:y>
    </cdr:to>
    <cdr:sp macro="" textlink="'Heat map data'!$L$14">
      <cdr:nvSpPr>
        <cdr:cNvPr id="7" name="TextBox 8">
          <a:extLst xmlns:a="http://schemas.openxmlformats.org/drawingml/2006/main">
            <a:ext uri="{FF2B5EF4-FFF2-40B4-BE49-F238E27FC236}">
              <a16:creationId xmlns:a16="http://schemas.microsoft.com/office/drawing/2014/main" id="{D4ED0C82-289F-DE13-00A1-E5F68ADAB39F}"/>
            </a:ext>
          </a:extLst>
        </cdr:cNvPr>
        <cdr:cNvSpPr txBox="1"/>
      </cdr:nvSpPr>
      <cdr:spPr>
        <a:xfrm xmlns:a="http://schemas.openxmlformats.org/drawingml/2006/main">
          <a:off x="898525" y="784225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37A4775D-DD18-47AF-BA1D-0E33C0BBE252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Unknown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0.17691</cdr:y>
    </cdr:from>
    <cdr:to>
      <cdr:x>0.92617</cdr:x>
      <cdr:y>0.21881</cdr:y>
    </cdr:to>
    <cdr:sp macro="" textlink="'Heat map data'!$K$14">
      <cdr:nvSpPr>
        <cdr:cNvPr id="8" name="TextBox 8">
          <a:extLst xmlns:a="http://schemas.openxmlformats.org/drawingml/2006/main">
            <a:ext uri="{FF2B5EF4-FFF2-40B4-BE49-F238E27FC236}">
              <a16:creationId xmlns:a16="http://schemas.microsoft.com/office/drawing/2014/main" id="{D4ED0C82-289F-DE13-00A1-E5F68ADAB39F}"/>
            </a:ext>
          </a:extLst>
        </cdr:cNvPr>
        <cdr:cNvSpPr txBox="1"/>
      </cdr:nvSpPr>
      <cdr:spPr>
        <a:xfrm xmlns:a="http://schemas.openxmlformats.org/drawingml/2006/main">
          <a:off x="898525" y="603250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C53DB8A-DC53-46D4-93B3-F718E20503D2}" type="TxLink">
            <a:rPr lang="en-US" sz="900" b="0" i="0" u="none" strike="noStrike">
              <a:solidFill>
                <a:srgbClr val="262626"/>
              </a:solidFill>
              <a:latin typeface="Segoe UI"/>
              <a:cs typeface="Segoe UI"/>
            </a:rPr>
            <a:pPr algn="ctr"/>
            <a:t>Anticipation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0.02607</cdr:y>
    </cdr:from>
    <cdr:to>
      <cdr:x>0.92617</cdr:x>
      <cdr:y>0.06797</cdr:y>
    </cdr:to>
    <cdr:sp macro="" textlink="'Heat map data'!$C$14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EE0F6C9E-A0F3-40A5-4B34-4095C2596DAC}"/>
            </a:ext>
          </a:extLst>
        </cdr:cNvPr>
        <cdr:cNvSpPr txBox="1"/>
      </cdr:nvSpPr>
      <cdr:spPr>
        <a:xfrm xmlns:a="http://schemas.openxmlformats.org/drawingml/2006/main">
          <a:off x="898525" y="88900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D3C081B-85F7-4670-9035-DB6E55E77AAA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Over Speed</a:t>
          </a:fld>
          <a:endParaRPr lang="en-IN" sz="1000"/>
        </a:p>
      </cdr:txBody>
    </cdr:sp>
  </cdr:relSizeAnchor>
  <cdr:relSizeAnchor xmlns:cdr="http://schemas.openxmlformats.org/drawingml/2006/chartDrawing">
    <cdr:from>
      <cdr:x>0.33933</cdr:x>
      <cdr:y>0.07635</cdr:y>
    </cdr:from>
    <cdr:to>
      <cdr:x>0.92617</cdr:x>
      <cdr:y>0.11825</cdr:y>
    </cdr:to>
    <cdr:sp macro="" textlink="'Heat map data'!$E$14">
      <cdr:nvSpPr>
        <cdr:cNvPr id="10" name="TextBox 8">
          <a:extLst xmlns:a="http://schemas.openxmlformats.org/drawingml/2006/main">
            <a:ext uri="{FF2B5EF4-FFF2-40B4-BE49-F238E27FC236}">
              <a16:creationId xmlns:a16="http://schemas.microsoft.com/office/drawing/2014/main" id="{EE0F6C9E-A0F3-40A5-4B34-4095C2596DAC}"/>
            </a:ext>
          </a:extLst>
        </cdr:cNvPr>
        <cdr:cNvSpPr txBox="1"/>
      </cdr:nvSpPr>
      <cdr:spPr>
        <a:xfrm xmlns:a="http://schemas.openxmlformats.org/drawingml/2006/main">
          <a:off x="898525" y="260350"/>
          <a:ext cx="1553915" cy="14287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lt1">
              <a:shade val="50000"/>
            </a:schemeClr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443DB3F-673C-4784-A8EE-6FD59041A1C0}" type="TxLink">
            <a:rPr lang="en-US" sz="900" b="0" i="0" u="none" strike="noStrike">
              <a:solidFill>
                <a:srgbClr val="262626"/>
              </a:solidFill>
              <a:latin typeface="Calibri"/>
              <a:cs typeface="Calibri"/>
            </a:rPr>
            <a:pPr algn="ctr"/>
            <a:t>01:27:00 PM</a:t>
          </a:fld>
          <a:endParaRPr lang="en-IN" sz="1000"/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3</xdr:row>
      <xdr:rowOff>180974</xdr:rowOff>
    </xdr:from>
    <xdr:to>
      <xdr:col>10</xdr:col>
      <xdr:colOff>390525</xdr:colOff>
      <xdr:row>20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B10BC2-B249-49B8-A645-10DEA60C3F0E}" name="Table8103" displayName="Table8103" ref="A1:J9" totalsRowShown="0" headerRowDxfId="73" dataDxfId="71" headerRowBorderDxfId="72" tableBorderDxfId="70" totalsRowBorderDxfId="69">
  <autoFilter ref="A1:J9" xr:uid="{99292C47-EAE9-475B-BBFF-521C51E44FCC}"/>
  <tableColumns count="10">
    <tableColumn id="1" xr3:uid="{E44085E7-8251-42E3-8C3F-EC44CABF4E52}" name="Red Alert id" dataDxfId="68"/>
    <tableColumn id="2" xr3:uid="{D74654C7-76F0-4487-B813-E7EDD8ADCB60}" name="Alert Severity" dataDxfId="67"/>
    <tableColumn id="3" xr3:uid="{9178AB7A-7863-4D93-BFB2-469E7CFD9D6D}" name="Alert Name" dataDxfId="66"/>
    <tableColumn id="4" xr3:uid="{A98C19DA-84ED-4EE5-BD69-A83D1A7C5B53}" name="Risk Value" dataDxfId="65"/>
    <tableColumn id="5" xr3:uid="{DD3801A7-80D5-46FD-B83C-877851B1A33D}" name="Time " dataDxfId="64"/>
    <tableColumn id="6" xr3:uid="{B778AD8F-1D6F-4090-8483-31599A2C8798}" name="Distance (Km)" dataDxfId="63"/>
    <tableColumn id="7" xr3:uid="{268C5A72-66F9-41EE-B79F-195DDCC32177}" name="SL/PS (Km/H)" dataDxfId="62"/>
    <tableColumn id="8" xr3:uid="{54A83A77-7463-444D-BE6A-2F779035A711}" name="Speed" dataDxfId="61"/>
    <tableColumn id="9" xr3:uid="{5E127A40-97EC-49AC-A420-568313C18695}" name="Custom Speed" dataDxfId="60"/>
    <tableColumn id="10" xr3:uid="{B78C918E-DD3F-4EF1-93F6-91BB76CF18EC}" name="ZipCode" dataDxfId="59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CDBAA9-D45A-48F4-9D96-C394B1059459}" name="Table104" displayName="Table104" ref="A13:J14" totalsRowShown="0" headerRowDxfId="58" dataDxfId="56" headerRowBorderDxfId="57" tableBorderDxfId="55" totalsRowBorderDxfId="54">
  <autoFilter ref="A13:J14" xr:uid="{8FB9E2FE-C321-424E-91F1-ADECA7E56157}"/>
  <tableColumns count="10">
    <tableColumn id="1" xr3:uid="{AA7C2DF5-BA25-4BC4-982C-C8354B55D6CB}" name="Red Alert id" dataDxfId="53"/>
    <tableColumn id="2" xr3:uid="{4C3C333C-325F-4536-8BB4-5B8EF4C86312}" name="Alert Severity" dataDxfId="52">
      <calculatedColumnFormula>VLOOKUP(A14,Table8103[#All],2,FALSE)</calculatedColumnFormula>
    </tableColumn>
    <tableColumn id="3" xr3:uid="{94E6847F-86CF-4988-A54E-B9315E4D4A3B}" name="Alert Name" dataDxfId="51">
      <calculatedColumnFormula>VLOOKUP(A14,Table8103[#All],3,FALSE)</calculatedColumnFormula>
    </tableColumn>
    <tableColumn id="4" xr3:uid="{CD9BAA78-1C88-4726-9D26-CBFA3597CD8B}" name="Risk Value" dataDxfId="50">
      <calculatedColumnFormula>VLOOKUP(A14,Table8103[#All],4,FALSE)</calculatedColumnFormula>
    </tableColumn>
    <tableColumn id="5" xr3:uid="{45B744E3-344B-4A3E-B9E3-A56E8ABE818A}" name="Time " dataDxfId="49">
      <calculatedColumnFormula>VLOOKUP(A14,Table8103[#All],5,FALSE)</calculatedColumnFormula>
    </tableColumn>
    <tableColumn id="6" xr3:uid="{7474AA44-A7D1-4D90-8DD3-FF9FAECE411A}" name="Distance (Km)" dataDxfId="48">
      <calculatedColumnFormula>VLOOKUP(A14,Table8103[#All],6,FALSE)</calculatedColumnFormula>
    </tableColumn>
    <tableColumn id="7" xr3:uid="{B928254F-6A3E-4A09-89BC-415E20BA9104}" name="P-Speed/S-Limit" dataDxfId="47">
      <calculatedColumnFormula>VLOOKUP(A14,Table8103[#All],7,FALSE)</calculatedColumnFormula>
    </tableColumn>
    <tableColumn id="8" xr3:uid="{79F21A55-C823-46CE-A639-ABD83488EB48}" name="Speed" dataDxfId="46">
      <calculatedColumnFormula>VLOOKUP(A14,Table8103[#All],8,FALSE)</calculatedColumnFormula>
    </tableColumn>
    <tableColumn id="9" xr3:uid="{35603206-BB76-4A01-B0A4-233DE46F2B89}" name="Custom Speed" dataDxfId="45">
      <calculatedColumnFormula>VLOOKUP(A14,Table8103[#All],9,FALSE)</calculatedColumnFormula>
    </tableColumn>
    <tableColumn id="10" xr3:uid="{50A38AA9-9721-4B8D-9C9C-97ADAA430177}" name="ZipCode" dataDxfId="44">
      <calculatedColumnFormula>VLOOKUP(A14,Table8103[#All],10,FALSE)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79C108-9617-4C04-930F-BC78520A44C6}" name="Table81032" displayName="Table81032" ref="A1:M9" totalsRowShown="0" headerRowDxfId="39" dataDxfId="37" headerRowBorderDxfId="38" tableBorderDxfId="36" totalsRowBorderDxfId="35">
  <autoFilter ref="A1:M9" xr:uid="{3879C108-9617-4C04-930F-BC78520A44C6}"/>
  <tableColumns count="13">
    <tableColumn id="1" xr3:uid="{1245F0D2-C17B-40CF-8E39-584F0FCF29C2}" name="Red Alert id" dataDxfId="34"/>
    <tableColumn id="2" xr3:uid="{C8E87705-DF64-4731-AAC0-B4B07A9B94A0}" name="Alert Severity" dataDxfId="33"/>
    <tableColumn id="3" xr3:uid="{CF44EA64-7DA4-4560-9273-2048271C3628}" name="Alert Name" dataDxfId="32"/>
    <tableColumn id="4" xr3:uid="{AA9396A0-3673-47EE-81D6-12E29B696BBF}" name="Risk Value" dataDxfId="31"/>
    <tableColumn id="5" xr3:uid="{2B1911C0-F182-445D-911B-7BC966ECE849}" name="Time " dataDxfId="30"/>
    <tableColumn id="6" xr3:uid="{1A91A56D-9FA2-41B2-BCFD-336D2ADC8F86}" name="Distance (Km)" dataDxfId="29"/>
    <tableColumn id="7" xr3:uid="{8F5E9A61-6216-45F7-BAA1-5BDB6C3E23B9}" name="SL/PS (Km/H)" dataDxfId="28"/>
    <tableColumn id="8" xr3:uid="{DDBBB5AE-C493-4B7E-A692-9A6ECAB9E3FA}" name="Speed" dataDxfId="27"/>
    <tableColumn id="9" xr3:uid="{0BA044C2-27F5-464C-80D0-698C79A8FAC2}" name="Custom Speed" dataDxfId="26"/>
    <tableColumn id="10" xr3:uid="{6DC2ACDF-E7EA-4827-9112-D2772062C375}" name="ZipCode" dataDxfId="25"/>
    <tableColumn id="11" xr3:uid="{4DF055B4-C7E5-499F-8391-329E9694CE5D}" name="Risk Style" dataDxfId="24"/>
    <tableColumn id="12" xr3:uid="{732B38B0-4ECA-491C-9827-277F8DAFDBCF}" name="Driver State" dataDxfId="23"/>
    <tableColumn id="13" xr3:uid="{E18754C8-362B-4135-B3E1-8BD13AE3D2FD}" name="Driving Style" dataDxfId="2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89D42F5-FBF7-4B37-87D0-EA3B2E7B2AD1}" name="Table1045" displayName="Table1045" ref="A13:M14" totalsRowShown="0" headerRowDxfId="21" dataDxfId="19" headerRowBorderDxfId="20" tableBorderDxfId="18" totalsRowBorderDxfId="17">
  <autoFilter ref="A13:M14" xr:uid="{F89D42F5-FBF7-4B37-87D0-EA3B2E7B2AD1}"/>
  <tableColumns count="13">
    <tableColumn id="1" xr3:uid="{6FEE4F08-4CDB-4ABD-91FE-7308AF9CF42D}" name="Red Alert id" dataDxfId="16"/>
    <tableColumn id="2" xr3:uid="{33C42F8F-0D4B-4BB2-8231-31C8ED8E9E8F}" name="Alert Severity" dataDxfId="15">
      <calculatedColumnFormula>VLOOKUP(A14,Table8103[#All],2,FALSE)</calculatedColumnFormula>
    </tableColumn>
    <tableColumn id="3" xr3:uid="{A5A0CB92-FC16-48DF-92F0-458D3E5CA413}" name="Alert Name" dataDxfId="14">
      <calculatedColumnFormula>VLOOKUP(A14,Table8103[#All],3,FALSE)</calculatedColumnFormula>
    </tableColumn>
    <tableColumn id="4" xr3:uid="{3025318D-DF62-476E-9AC8-BF650A5CA40A}" name="Risk Value" dataDxfId="13">
      <calculatedColumnFormula>VLOOKUP(A14,Table8103[#All],4,FALSE)</calculatedColumnFormula>
    </tableColumn>
    <tableColumn id="5" xr3:uid="{8083F3F6-19E5-478C-9B18-B1CF62A33BB4}" name="Time " dataDxfId="12">
      <calculatedColumnFormula>VLOOKUP(A14,Table8103[#All],5,FALSE)</calculatedColumnFormula>
    </tableColumn>
    <tableColumn id="6" xr3:uid="{2B0D25EF-8E43-4763-AC28-6346739C4904}" name="Distance (Km)" dataDxfId="11">
      <calculatedColumnFormula>VLOOKUP(A14,Table8103[#All],6,FALSE)</calculatedColumnFormula>
    </tableColumn>
    <tableColumn id="7" xr3:uid="{86E00EB2-6CE8-47ED-A8BD-229A6A5C5772}" name="P-Speed/S-Limit" dataDxfId="10">
      <calculatedColumnFormula>VLOOKUP(A14,Table8103[#All],7,FALSE)</calculatedColumnFormula>
    </tableColumn>
    <tableColumn id="8" xr3:uid="{B12493CC-381F-4BD7-82E2-79893A86C774}" name="Speed" dataDxfId="9">
      <calculatedColumnFormula>VLOOKUP(A14,Table8103[#All],8,FALSE)</calculatedColumnFormula>
    </tableColumn>
    <tableColumn id="9" xr3:uid="{21C0BC98-189A-4A7A-82A0-3EE0D7980871}" name="Custom Speed" dataDxfId="8">
      <calculatedColumnFormula>VLOOKUP(A14,Table8103[#All],9,FALSE)</calculatedColumnFormula>
    </tableColumn>
    <tableColumn id="10" xr3:uid="{83C28036-D75A-4D23-BE08-5E70DF4B5721}" name="ZipCode" dataDxfId="7">
      <calculatedColumnFormula>VLOOKUP(A14,Table8103[#All],10,FALSE)</calculatedColumnFormula>
    </tableColumn>
    <tableColumn id="11" xr3:uid="{87366D53-B884-41CE-8837-40A41155B711}" name="Risk Style" dataDxfId="6">
      <calculatedColumnFormula>VLOOKUP(A14,Table81032[#All],11,FALSE)</calculatedColumnFormula>
    </tableColumn>
    <tableColumn id="12" xr3:uid="{DA8D9B5D-652D-4C02-B61E-5DBC749CFB4C}" name="Driver State" dataDxfId="5">
      <calculatedColumnFormula>VLOOKUP(A14,Table81032[#All],12,FALSE)</calculatedColumnFormula>
    </tableColumn>
    <tableColumn id="13" xr3:uid="{A8B02FE1-1B31-4D53-86E3-44D821BF79BB}" name="Driving Style" dataDxfId="4">
      <calculatedColumnFormula>VLOOKUP(A14,Table81032[#All],13,FALSE)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18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" Type="http://schemas.openxmlformats.org/officeDocument/2006/relationships/drawing" Target="../drawings/drawing7.xml"/><Relationship Id="rId16" Type="http://schemas.openxmlformats.org/officeDocument/2006/relationships/control" Target="../activeX/activeX7.xml"/><Relationship Id="rId20" Type="http://schemas.openxmlformats.org/officeDocument/2006/relationships/image" Target="../media/image10.emf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18" Type="http://schemas.openxmlformats.org/officeDocument/2006/relationships/control" Target="../activeX/activeX17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9.emf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16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19" Type="http://schemas.openxmlformats.org/officeDocument/2006/relationships/image" Target="../media/image18.emf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CE446-11B2-49EE-9C85-FC7FDBEC5D9D}">
  <sheetPr codeName="Sheet3"/>
  <dimension ref="A1:L78"/>
  <sheetViews>
    <sheetView topLeftCell="A22" zoomScaleNormal="100" workbookViewId="0">
      <selection activeCell="L23" sqref="L23"/>
    </sheetView>
  </sheetViews>
  <sheetFormatPr defaultRowHeight="15" x14ac:dyDescent="0.25"/>
  <cols>
    <col min="1" max="1" width="15.42578125" bestFit="1" customWidth="1"/>
    <col min="2" max="2" width="16" bestFit="1" customWidth="1"/>
    <col min="3" max="3" width="13.140625" bestFit="1" customWidth="1"/>
    <col min="4" max="4" width="9.7109375" style="2" bestFit="1" customWidth="1"/>
    <col min="5" max="5" width="16.140625" style="2" bestFit="1" customWidth="1"/>
    <col min="6" max="6" width="16" style="3" bestFit="1" customWidth="1"/>
    <col min="7" max="7" width="10.140625" style="1" bestFit="1" customWidth="1"/>
    <col min="8" max="8" width="12" style="1" bestFit="1" customWidth="1"/>
    <col min="9" max="9" width="8.5703125" style="4" bestFit="1" customWidth="1"/>
    <col min="10" max="10" width="9.85546875" style="4" bestFit="1" customWidth="1"/>
  </cols>
  <sheetData>
    <row r="1" spans="1:12" x14ac:dyDescent="0.25">
      <c r="A1" s="10" t="s">
        <v>15</v>
      </c>
      <c r="B1" s="11" t="s">
        <v>16</v>
      </c>
      <c r="C1" s="12" t="s">
        <v>4</v>
      </c>
      <c r="D1" s="13" t="s">
        <v>17</v>
      </c>
      <c r="E1" s="13" t="s">
        <v>0</v>
      </c>
      <c r="F1" s="12" t="s">
        <v>1</v>
      </c>
      <c r="G1" s="12" t="s">
        <v>2</v>
      </c>
      <c r="H1" s="12" t="s">
        <v>3</v>
      </c>
      <c r="K1" s="32" t="s">
        <v>19</v>
      </c>
      <c r="L1" s="29">
        <v>90</v>
      </c>
    </row>
    <row r="2" spans="1:12" x14ac:dyDescent="0.25">
      <c r="A2" s="20" t="str">
        <f>IF(C2&gt;$L$1,$K$5,$K$6)</f>
        <v>Amber</v>
      </c>
      <c r="B2" s="21" t="s">
        <v>5</v>
      </c>
      <c r="C2" s="22">
        <v>22</v>
      </c>
      <c r="D2" s="23">
        <v>0.47013888888888888</v>
      </c>
      <c r="E2" s="24">
        <v>0.51</v>
      </c>
      <c r="F2" s="22">
        <v>40</v>
      </c>
      <c r="G2" s="22">
        <v>48</v>
      </c>
      <c r="H2" s="22">
        <v>641035</v>
      </c>
      <c r="K2" s="31"/>
      <c r="L2" s="31"/>
    </row>
    <row r="3" spans="1:12" x14ac:dyDescent="0.25">
      <c r="A3" s="20" t="str">
        <f t="shared" ref="A3:A66" si="0">IF(C3&gt;$L$1,$K$5,$K$6)</f>
        <v>Amber</v>
      </c>
      <c r="B3" s="21" t="s">
        <v>6</v>
      </c>
      <c r="C3" s="22">
        <v>2</v>
      </c>
      <c r="D3" s="23">
        <v>0.47083333333333338</v>
      </c>
      <c r="E3" s="24">
        <v>1.39</v>
      </c>
      <c r="F3" s="22" t="s">
        <v>18</v>
      </c>
      <c r="G3" s="22">
        <v>46</v>
      </c>
      <c r="H3" s="22">
        <v>641035</v>
      </c>
      <c r="K3" s="31"/>
      <c r="L3" s="31"/>
    </row>
    <row r="4" spans="1:12" x14ac:dyDescent="0.25">
      <c r="A4" s="20" t="str">
        <f t="shared" si="0"/>
        <v>Amber</v>
      </c>
      <c r="B4" s="21" t="s">
        <v>7</v>
      </c>
      <c r="C4" s="22">
        <v>10</v>
      </c>
      <c r="D4" s="23">
        <v>0.47083333333333338</v>
      </c>
      <c r="E4" s="24">
        <v>1.68</v>
      </c>
      <c r="F4" s="22">
        <v>60</v>
      </c>
      <c r="G4" s="22">
        <v>43</v>
      </c>
      <c r="H4" s="22">
        <v>641035</v>
      </c>
      <c r="K4" s="31"/>
      <c r="L4" s="31"/>
    </row>
    <row r="5" spans="1:12" x14ac:dyDescent="0.25">
      <c r="A5" s="20" t="str">
        <f t="shared" si="0"/>
        <v>Amber</v>
      </c>
      <c r="B5" s="25" t="s">
        <v>11</v>
      </c>
      <c r="C5" s="22">
        <v>51</v>
      </c>
      <c r="D5" s="23">
        <v>0.47152777777777777</v>
      </c>
      <c r="E5" s="24">
        <v>2.0099999999999998</v>
      </c>
      <c r="F5" s="22" t="s">
        <v>18</v>
      </c>
      <c r="G5" s="22">
        <v>52</v>
      </c>
      <c r="H5" s="22">
        <v>641035</v>
      </c>
      <c r="J5"/>
      <c r="K5" s="29" t="s">
        <v>14</v>
      </c>
      <c r="L5" s="31"/>
    </row>
    <row r="6" spans="1:12" x14ac:dyDescent="0.25">
      <c r="A6" s="20" t="str">
        <f t="shared" si="0"/>
        <v>Red</v>
      </c>
      <c r="B6" s="21" t="s">
        <v>7</v>
      </c>
      <c r="C6" s="22">
        <v>91</v>
      </c>
      <c r="D6" s="23">
        <v>0.47361111111111115</v>
      </c>
      <c r="E6" s="24">
        <v>3.88</v>
      </c>
      <c r="F6" s="22">
        <v>30</v>
      </c>
      <c r="G6" s="22">
        <v>13</v>
      </c>
      <c r="H6" s="22">
        <v>641035</v>
      </c>
      <c r="J6"/>
      <c r="K6" s="33" t="s">
        <v>13</v>
      </c>
      <c r="L6" s="31"/>
    </row>
    <row r="7" spans="1:12" x14ac:dyDescent="0.25">
      <c r="A7" s="20" t="str">
        <f t="shared" si="0"/>
        <v>Red</v>
      </c>
      <c r="B7" s="21" t="s">
        <v>7</v>
      </c>
      <c r="C7" s="22">
        <v>94</v>
      </c>
      <c r="D7" s="23">
        <v>0.47500000000000003</v>
      </c>
      <c r="E7" s="24">
        <v>7.5</v>
      </c>
      <c r="F7" s="22">
        <v>16</v>
      </c>
      <c r="G7" s="22">
        <v>1</v>
      </c>
      <c r="H7" s="22">
        <v>641035</v>
      </c>
      <c r="J7"/>
    </row>
    <row r="8" spans="1:12" x14ac:dyDescent="0.25">
      <c r="A8" s="20" t="str">
        <f t="shared" si="0"/>
        <v>Amber</v>
      </c>
      <c r="B8" s="21" t="s">
        <v>7</v>
      </c>
      <c r="C8" s="22">
        <v>56</v>
      </c>
      <c r="D8" s="23">
        <v>0.47638888888888892</v>
      </c>
      <c r="E8" s="24">
        <v>8.48</v>
      </c>
      <c r="F8" s="22">
        <v>26</v>
      </c>
      <c r="G8" s="22">
        <v>9</v>
      </c>
      <c r="H8" s="22">
        <v>641107</v>
      </c>
    </row>
    <row r="9" spans="1:12" x14ac:dyDescent="0.25">
      <c r="A9" s="20" t="str">
        <f t="shared" si="0"/>
        <v>Amber</v>
      </c>
      <c r="B9" s="25" t="s">
        <v>11</v>
      </c>
      <c r="C9" s="22">
        <v>77</v>
      </c>
      <c r="D9" s="23">
        <v>0.47638888888888892</v>
      </c>
      <c r="E9" s="24">
        <v>8.5</v>
      </c>
      <c r="F9" s="22" t="s">
        <v>18</v>
      </c>
      <c r="G9" s="22">
        <v>23</v>
      </c>
      <c r="H9" s="22">
        <v>641107</v>
      </c>
    </row>
    <row r="10" spans="1:12" x14ac:dyDescent="0.25">
      <c r="A10" s="20" t="str">
        <f t="shared" si="0"/>
        <v>Amber</v>
      </c>
      <c r="B10" s="25" t="s">
        <v>12</v>
      </c>
      <c r="C10" s="22">
        <v>51</v>
      </c>
      <c r="D10" s="23">
        <v>0.4770833333333333</v>
      </c>
      <c r="E10" s="24">
        <v>8.77</v>
      </c>
      <c r="F10" s="22" t="s">
        <v>18</v>
      </c>
      <c r="G10" s="22">
        <v>46</v>
      </c>
      <c r="H10" s="22">
        <v>641107</v>
      </c>
    </row>
    <row r="11" spans="1:12" x14ac:dyDescent="0.25">
      <c r="A11" s="20" t="str">
        <f t="shared" si="0"/>
        <v>Amber</v>
      </c>
      <c r="B11" s="25" t="s">
        <v>12</v>
      </c>
      <c r="C11" s="22">
        <v>54</v>
      </c>
      <c r="D11" s="23">
        <v>0.4826388888888889</v>
      </c>
      <c r="E11" s="24">
        <v>8.8699999999999992</v>
      </c>
      <c r="F11" s="22" t="s">
        <v>18</v>
      </c>
      <c r="G11" s="22">
        <v>21</v>
      </c>
      <c r="H11" s="22">
        <v>641107</v>
      </c>
    </row>
    <row r="12" spans="1:12" x14ac:dyDescent="0.25">
      <c r="A12" s="20" t="str">
        <f t="shared" si="0"/>
        <v>Amber</v>
      </c>
      <c r="B12" s="25" t="s">
        <v>12</v>
      </c>
      <c r="C12" s="22">
        <v>2</v>
      </c>
      <c r="D12" s="23">
        <v>0.48472222222222222</v>
      </c>
      <c r="E12" s="24">
        <v>10.9</v>
      </c>
      <c r="F12" s="22" t="s">
        <v>18</v>
      </c>
      <c r="G12" s="22">
        <v>41</v>
      </c>
      <c r="H12" s="22">
        <v>641107</v>
      </c>
    </row>
    <row r="13" spans="1:12" x14ac:dyDescent="0.25">
      <c r="A13" s="20" t="str">
        <f t="shared" si="0"/>
        <v>Amber</v>
      </c>
      <c r="B13" s="21" t="s">
        <v>7</v>
      </c>
      <c r="C13" s="22">
        <v>63</v>
      </c>
      <c r="D13" s="23">
        <v>0.48749999999999999</v>
      </c>
      <c r="E13" s="24">
        <v>13.73</v>
      </c>
      <c r="F13" s="22">
        <v>43</v>
      </c>
      <c r="G13" s="22">
        <v>30</v>
      </c>
      <c r="H13" s="22">
        <v>641107</v>
      </c>
    </row>
    <row r="14" spans="1:12" x14ac:dyDescent="0.25">
      <c r="A14" s="20" t="str">
        <f t="shared" si="0"/>
        <v>Amber</v>
      </c>
      <c r="B14" s="25" t="s">
        <v>11</v>
      </c>
      <c r="C14" s="22">
        <v>60</v>
      </c>
      <c r="D14" s="23">
        <v>0.48749999999999999</v>
      </c>
      <c r="E14" s="24">
        <v>13.95</v>
      </c>
      <c r="F14" s="22" t="s">
        <v>18</v>
      </c>
      <c r="G14" s="22">
        <v>35</v>
      </c>
      <c r="H14" s="22">
        <v>641107</v>
      </c>
    </row>
    <row r="15" spans="1:12" x14ac:dyDescent="0.25">
      <c r="A15" s="20" t="str">
        <f t="shared" si="0"/>
        <v>Amber</v>
      </c>
      <c r="B15" s="21" t="s">
        <v>7</v>
      </c>
      <c r="C15" s="22">
        <v>62</v>
      </c>
      <c r="D15" s="23">
        <v>0.48888888888888887</v>
      </c>
      <c r="E15" s="24">
        <v>15.25</v>
      </c>
      <c r="F15" s="22">
        <v>45</v>
      </c>
      <c r="G15" s="22">
        <v>29</v>
      </c>
      <c r="H15" s="22">
        <v>641107</v>
      </c>
    </row>
    <row r="16" spans="1:12" x14ac:dyDescent="0.25">
      <c r="A16" s="20" t="str">
        <f t="shared" si="0"/>
        <v>Amber</v>
      </c>
      <c r="B16" s="21" t="s">
        <v>7</v>
      </c>
      <c r="C16" s="22">
        <v>73</v>
      </c>
      <c r="D16" s="23">
        <v>0.4909722222222222</v>
      </c>
      <c r="E16" s="24">
        <v>17.57</v>
      </c>
      <c r="F16" s="22">
        <v>64</v>
      </c>
      <c r="G16" s="22">
        <v>22</v>
      </c>
      <c r="H16" s="22">
        <v>641107</v>
      </c>
    </row>
    <row r="17" spans="1:8" x14ac:dyDescent="0.25">
      <c r="A17" s="20" t="str">
        <f t="shared" si="0"/>
        <v>Amber</v>
      </c>
      <c r="B17" s="21" t="s">
        <v>7</v>
      </c>
      <c r="C17" s="22">
        <v>82</v>
      </c>
      <c r="D17" s="23">
        <v>0.49305555555555558</v>
      </c>
      <c r="E17" s="24">
        <v>21.29</v>
      </c>
      <c r="F17" s="22">
        <v>66</v>
      </c>
      <c r="G17" s="22">
        <v>52</v>
      </c>
      <c r="H17" s="22">
        <v>641653</v>
      </c>
    </row>
    <row r="18" spans="1:8" x14ac:dyDescent="0.25">
      <c r="A18" s="20" t="str">
        <f t="shared" si="0"/>
        <v>Amber</v>
      </c>
      <c r="B18" s="25" t="s">
        <v>11</v>
      </c>
      <c r="C18" s="22">
        <v>53</v>
      </c>
      <c r="D18" s="23">
        <v>0.49374999999999997</v>
      </c>
      <c r="E18" s="24">
        <v>21.61</v>
      </c>
      <c r="F18" s="22" t="s">
        <v>18</v>
      </c>
      <c r="G18" s="22">
        <v>45</v>
      </c>
      <c r="H18" s="22">
        <v>641653</v>
      </c>
    </row>
    <row r="19" spans="1:8" x14ac:dyDescent="0.25">
      <c r="A19" s="20" t="str">
        <f t="shared" si="0"/>
        <v>Amber</v>
      </c>
      <c r="B19" s="25" t="s">
        <v>11</v>
      </c>
      <c r="C19" s="22">
        <v>75</v>
      </c>
      <c r="D19" s="23">
        <v>0.49374999999999997</v>
      </c>
      <c r="E19" s="24">
        <v>21.65</v>
      </c>
      <c r="F19" s="22" t="s">
        <v>18</v>
      </c>
      <c r="G19" s="22">
        <v>46</v>
      </c>
      <c r="H19" s="22">
        <v>641653</v>
      </c>
    </row>
    <row r="20" spans="1:8" x14ac:dyDescent="0.25">
      <c r="A20" s="20" t="str">
        <f t="shared" si="0"/>
        <v>Amber</v>
      </c>
      <c r="B20" s="25" t="s">
        <v>12</v>
      </c>
      <c r="C20" s="22">
        <v>65</v>
      </c>
      <c r="D20" s="23">
        <v>0.49861111111111112</v>
      </c>
      <c r="E20" s="24">
        <v>26.47</v>
      </c>
      <c r="F20" s="22" t="s">
        <v>18</v>
      </c>
      <c r="G20" s="22">
        <v>63</v>
      </c>
      <c r="H20" s="22">
        <v>641653</v>
      </c>
    </row>
    <row r="21" spans="1:8" x14ac:dyDescent="0.25">
      <c r="A21" s="20" t="str">
        <f t="shared" si="0"/>
        <v>Amber</v>
      </c>
      <c r="B21" s="21" t="s">
        <v>7</v>
      </c>
      <c r="C21" s="22">
        <v>80</v>
      </c>
      <c r="D21" s="23">
        <v>0.50138888888888888</v>
      </c>
      <c r="E21" s="24">
        <v>30.87</v>
      </c>
      <c r="F21" s="22">
        <v>70</v>
      </c>
      <c r="G21" s="22">
        <v>52</v>
      </c>
      <c r="H21" s="22">
        <v>641653</v>
      </c>
    </row>
    <row r="22" spans="1:8" x14ac:dyDescent="0.25">
      <c r="A22" s="20" t="str">
        <f t="shared" si="0"/>
        <v>Amber</v>
      </c>
      <c r="B22" s="25" t="s">
        <v>8</v>
      </c>
      <c r="C22" s="22">
        <v>59</v>
      </c>
      <c r="D22" s="23">
        <v>0.50208333333333333</v>
      </c>
      <c r="E22" s="24">
        <v>30.93</v>
      </c>
      <c r="F22" s="22" t="s">
        <v>18</v>
      </c>
      <c r="G22" s="22">
        <v>40</v>
      </c>
      <c r="H22" s="22">
        <v>641653</v>
      </c>
    </row>
    <row r="23" spans="1:8" x14ac:dyDescent="0.25">
      <c r="A23" s="20" t="str">
        <f t="shared" si="0"/>
        <v>Amber</v>
      </c>
      <c r="B23" s="25" t="s">
        <v>8</v>
      </c>
      <c r="C23" s="22">
        <v>69</v>
      </c>
      <c r="D23" s="23">
        <v>0.50208333333333333</v>
      </c>
      <c r="E23" s="24">
        <v>30.93</v>
      </c>
      <c r="F23" s="22" t="s">
        <v>18</v>
      </c>
      <c r="G23" s="22">
        <v>40</v>
      </c>
      <c r="H23" s="22">
        <v>641653</v>
      </c>
    </row>
    <row r="24" spans="1:8" x14ac:dyDescent="0.25">
      <c r="A24" s="20" t="str">
        <f t="shared" si="0"/>
        <v>Amber</v>
      </c>
      <c r="B24" s="21" t="s">
        <v>5</v>
      </c>
      <c r="C24" s="22">
        <v>2</v>
      </c>
      <c r="D24" s="23">
        <v>0.50208333333333333</v>
      </c>
      <c r="E24" s="24">
        <v>30.99</v>
      </c>
      <c r="F24" s="22">
        <v>40</v>
      </c>
      <c r="G24" s="22">
        <v>41</v>
      </c>
      <c r="H24" s="22">
        <v>641653</v>
      </c>
    </row>
    <row r="25" spans="1:8" x14ac:dyDescent="0.25">
      <c r="A25" s="20" t="str">
        <f t="shared" si="0"/>
        <v>Amber</v>
      </c>
      <c r="B25" s="25" t="s">
        <v>11</v>
      </c>
      <c r="C25" s="22">
        <v>53</v>
      </c>
      <c r="D25" s="23">
        <v>0.50208333333333333</v>
      </c>
      <c r="E25" s="24">
        <v>31.37</v>
      </c>
      <c r="F25" s="22" t="s">
        <v>18</v>
      </c>
      <c r="G25" s="22">
        <v>63</v>
      </c>
      <c r="H25" s="22">
        <v>641655</v>
      </c>
    </row>
    <row r="26" spans="1:8" x14ac:dyDescent="0.25">
      <c r="A26" s="20" t="str">
        <f t="shared" si="0"/>
        <v>Amber</v>
      </c>
      <c r="B26" s="25" t="s">
        <v>11</v>
      </c>
      <c r="C26" s="22">
        <v>69</v>
      </c>
      <c r="D26" s="23">
        <v>0.50208333333333333</v>
      </c>
      <c r="E26" s="24">
        <v>31.66</v>
      </c>
      <c r="F26" s="22" t="s">
        <v>18</v>
      </c>
      <c r="G26" s="22">
        <v>43</v>
      </c>
      <c r="H26" s="22">
        <v>641655</v>
      </c>
    </row>
    <row r="27" spans="1:8" x14ac:dyDescent="0.25">
      <c r="A27" s="20" t="str">
        <f t="shared" si="0"/>
        <v>Amber</v>
      </c>
      <c r="B27" s="21" t="s">
        <v>7</v>
      </c>
      <c r="C27" s="22">
        <v>78</v>
      </c>
      <c r="D27" s="23">
        <v>0.50416666666666665</v>
      </c>
      <c r="E27" s="24">
        <v>34.68</v>
      </c>
      <c r="F27" s="22">
        <v>66</v>
      </c>
      <c r="G27" s="22">
        <v>50</v>
      </c>
      <c r="H27" s="22">
        <v>641302</v>
      </c>
    </row>
    <row r="28" spans="1:8" x14ac:dyDescent="0.25">
      <c r="A28" s="20" t="str">
        <f t="shared" si="0"/>
        <v>Amber</v>
      </c>
      <c r="B28" s="25" t="s">
        <v>12</v>
      </c>
      <c r="C28" s="22">
        <v>55</v>
      </c>
      <c r="D28" s="23">
        <v>0.50624999999999998</v>
      </c>
      <c r="E28" s="24">
        <v>37.43</v>
      </c>
      <c r="F28" s="22" t="s">
        <v>18</v>
      </c>
      <c r="G28" s="22">
        <v>61</v>
      </c>
      <c r="H28" s="22">
        <v>638459</v>
      </c>
    </row>
    <row r="29" spans="1:8" x14ac:dyDescent="0.25">
      <c r="A29" s="20" t="str">
        <f t="shared" si="0"/>
        <v>Amber</v>
      </c>
      <c r="B29" s="25" t="s">
        <v>11</v>
      </c>
      <c r="C29" s="22">
        <v>54</v>
      </c>
      <c r="D29" s="23">
        <v>0.50763888888888886</v>
      </c>
      <c r="E29" s="24">
        <v>39</v>
      </c>
      <c r="F29" s="22" t="s">
        <v>18</v>
      </c>
      <c r="G29" s="22">
        <v>34</v>
      </c>
      <c r="H29" s="22">
        <v>638459</v>
      </c>
    </row>
    <row r="30" spans="1:8" x14ac:dyDescent="0.25">
      <c r="A30" s="20" t="str">
        <f t="shared" si="0"/>
        <v>Amber</v>
      </c>
      <c r="B30" s="25" t="s">
        <v>10</v>
      </c>
      <c r="C30" s="22">
        <v>65</v>
      </c>
      <c r="D30" s="23">
        <v>0.5083333333333333</v>
      </c>
      <c r="E30" s="24">
        <v>39.44</v>
      </c>
      <c r="F30" s="22" t="s">
        <v>18</v>
      </c>
      <c r="G30" s="22">
        <v>22</v>
      </c>
      <c r="H30" s="22">
        <v>638459</v>
      </c>
    </row>
    <row r="31" spans="1:8" x14ac:dyDescent="0.25">
      <c r="A31" s="20" t="str">
        <f t="shared" si="0"/>
        <v>Amber</v>
      </c>
      <c r="B31" s="25" t="s">
        <v>10</v>
      </c>
      <c r="C31" s="22">
        <v>53</v>
      </c>
      <c r="D31" s="23">
        <v>0.50902777777777775</v>
      </c>
      <c r="E31" s="24">
        <v>39.520000000000003</v>
      </c>
      <c r="F31" s="22" t="s">
        <v>18</v>
      </c>
      <c r="G31" s="22">
        <v>20</v>
      </c>
      <c r="H31" s="22">
        <v>638459</v>
      </c>
    </row>
    <row r="32" spans="1:8" x14ac:dyDescent="0.25">
      <c r="A32" s="20" t="str">
        <f t="shared" si="0"/>
        <v>Amber</v>
      </c>
      <c r="B32" s="25" t="s">
        <v>9</v>
      </c>
      <c r="C32" s="22">
        <v>51</v>
      </c>
      <c r="D32" s="23">
        <v>0.51250000000000007</v>
      </c>
      <c r="E32" s="24">
        <v>40.53</v>
      </c>
      <c r="F32" s="22" t="s">
        <v>18</v>
      </c>
      <c r="G32" s="22">
        <v>31</v>
      </c>
      <c r="H32" s="22">
        <v>638459</v>
      </c>
    </row>
    <row r="33" spans="1:8" x14ac:dyDescent="0.25">
      <c r="A33" s="20" t="str">
        <f t="shared" si="0"/>
        <v>Amber</v>
      </c>
      <c r="B33" s="21" t="s">
        <v>5</v>
      </c>
      <c r="C33" s="22">
        <v>41</v>
      </c>
      <c r="D33" s="23">
        <v>0.51250000000000007</v>
      </c>
      <c r="E33" s="24">
        <v>40.56</v>
      </c>
      <c r="F33" s="22">
        <v>30</v>
      </c>
      <c r="G33" s="22">
        <v>40</v>
      </c>
      <c r="H33" s="22">
        <v>638459</v>
      </c>
    </row>
    <row r="34" spans="1:8" x14ac:dyDescent="0.25">
      <c r="A34" s="20" t="str">
        <f t="shared" si="0"/>
        <v>Amber</v>
      </c>
      <c r="B34" s="25" t="s">
        <v>10</v>
      </c>
      <c r="C34" s="22">
        <v>81</v>
      </c>
      <c r="D34" s="23">
        <v>0.51250000000000007</v>
      </c>
      <c r="E34" s="24">
        <v>40.56</v>
      </c>
      <c r="F34" s="22" t="s">
        <v>18</v>
      </c>
      <c r="G34" s="22">
        <v>40</v>
      </c>
      <c r="H34" s="22">
        <v>638459</v>
      </c>
    </row>
    <row r="35" spans="1:8" x14ac:dyDescent="0.25">
      <c r="A35" s="20" t="str">
        <f t="shared" si="0"/>
        <v>Amber</v>
      </c>
      <c r="B35" s="25" t="s">
        <v>9</v>
      </c>
      <c r="C35" s="22">
        <v>68</v>
      </c>
      <c r="D35" s="23">
        <v>0.51388888888888895</v>
      </c>
      <c r="E35" s="24">
        <v>42.01</v>
      </c>
      <c r="F35" s="22" t="s">
        <v>18</v>
      </c>
      <c r="G35" s="22">
        <v>42</v>
      </c>
      <c r="H35" s="22">
        <v>638459</v>
      </c>
    </row>
    <row r="36" spans="1:8" x14ac:dyDescent="0.25">
      <c r="A36" s="20" t="str">
        <f t="shared" si="0"/>
        <v>Red</v>
      </c>
      <c r="B36" s="21" t="s">
        <v>5</v>
      </c>
      <c r="C36" s="22">
        <v>100</v>
      </c>
      <c r="D36" s="23">
        <v>0.51388888888888895</v>
      </c>
      <c r="E36" s="24">
        <v>42.06</v>
      </c>
      <c r="F36" s="22">
        <v>30</v>
      </c>
      <c r="G36" s="22">
        <v>42</v>
      </c>
      <c r="H36" s="22">
        <v>638459</v>
      </c>
    </row>
    <row r="37" spans="1:8" x14ac:dyDescent="0.25">
      <c r="A37" s="20" t="str">
        <f t="shared" si="0"/>
        <v>Amber</v>
      </c>
      <c r="B37" s="21" t="s">
        <v>7</v>
      </c>
      <c r="C37" s="22">
        <v>34</v>
      </c>
      <c r="D37" s="23">
        <v>0.51388888888888895</v>
      </c>
      <c r="E37" s="24">
        <v>42.08</v>
      </c>
      <c r="F37" s="22">
        <v>42</v>
      </c>
      <c r="G37" s="22">
        <v>30</v>
      </c>
      <c r="H37" s="22">
        <v>638459</v>
      </c>
    </row>
    <row r="38" spans="1:8" x14ac:dyDescent="0.25">
      <c r="A38" s="20" t="str">
        <f t="shared" si="0"/>
        <v>Amber</v>
      </c>
      <c r="B38" s="21" t="s">
        <v>7</v>
      </c>
      <c r="C38" s="22">
        <v>56</v>
      </c>
      <c r="D38" s="23">
        <v>0.51458333333333328</v>
      </c>
      <c r="E38" s="24">
        <v>43</v>
      </c>
      <c r="F38" s="22">
        <v>30</v>
      </c>
      <c r="G38" s="22">
        <v>10</v>
      </c>
      <c r="H38" s="22">
        <v>638459</v>
      </c>
    </row>
    <row r="39" spans="1:8" x14ac:dyDescent="0.25">
      <c r="A39" s="20" t="str">
        <f t="shared" si="0"/>
        <v>Amber</v>
      </c>
      <c r="B39" s="21" t="s">
        <v>7</v>
      </c>
      <c r="C39" s="22">
        <v>82</v>
      </c>
      <c r="D39" s="23">
        <v>0.51527777777777783</v>
      </c>
      <c r="E39" s="24">
        <v>43.19</v>
      </c>
      <c r="F39" s="22">
        <v>29</v>
      </c>
      <c r="G39" s="22">
        <v>16</v>
      </c>
      <c r="H39" s="22">
        <v>638459</v>
      </c>
    </row>
    <row r="40" spans="1:8" x14ac:dyDescent="0.25">
      <c r="A40" s="20" t="str">
        <f t="shared" si="0"/>
        <v>Amber</v>
      </c>
      <c r="B40" s="21" t="s">
        <v>7</v>
      </c>
      <c r="C40" s="22">
        <v>63</v>
      </c>
      <c r="D40" s="23">
        <v>0.51527777777777783</v>
      </c>
      <c r="E40" s="24">
        <v>43.49</v>
      </c>
      <c r="F40" s="22">
        <v>53</v>
      </c>
      <c r="G40" s="22">
        <v>35</v>
      </c>
      <c r="H40" s="22">
        <v>638459</v>
      </c>
    </row>
    <row r="41" spans="1:8" x14ac:dyDescent="0.25">
      <c r="A41" s="20" t="str">
        <f t="shared" si="0"/>
        <v>Amber</v>
      </c>
      <c r="B41" s="25" t="s">
        <v>9</v>
      </c>
      <c r="C41" s="22">
        <v>56</v>
      </c>
      <c r="D41" s="23">
        <v>0.51527777777777783</v>
      </c>
      <c r="E41" s="24">
        <v>43.57</v>
      </c>
      <c r="F41" s="22" t="s">
        <v>18</v>
      </c>
      <c r="G41" s="22">
        <v>44</v>
      </c>
      <c r="H41" s="22">
        <v>638459</v>
      </c>
    </row>
    <row r="42" spans="1:8" x14ac:dyDescent="0.25">
      <c r="A42" s="20" t="str">
        <f t="shared" si="0"/>
        <v>Amber</v>
      </c>
      <c r="B42" s="25" t="s">
        <v>9</v>
      </c>
      <c r="C42" s="22">
        <v>66</v>
      </c>
      <c r="D42" s="23">
        <v>0.51597222222222217</v>
      </c>
      <c r="E42" s="24">
        <v>43.71</v>
      </c>
      <c r="F42" s="22" t="s">
        <v>18</v>
      </c>
      <c r="G42" s="22">
        <v>42</v>
      </c>
      <c r="H42" s="22">
        <v>638459</v>
      </c>
    </row>
    <row r="43" spans="1:8" x14ac:dyDescent="0.25">
      <c r="A43" s="20" t="str">
        <f t="shared" si="0"/>
        <v>Amber</v>
      </c>
      <c r="B43" s="21" t="s">
        <v>5</v>
      </c>
      <c r="C43" s="22">
        <v>82</v>
      </c>
      <c r="D43" s="23">
        <v>0.51597222222222217</v>
      </c>
      <c r="E43" s="24">
        <v>44.02</v>
      </c>
      <c r="F43" s="22">
        <v>50</v>
      </c>
      <c r="G43" s="22">
        <v>55</v>
      </c>
      <c r="H43" s="22">
        <v>638459</v>
      </c>
    </row>
    <row r="44" spans="1:8" x14ac:dyDescent="0.25">
      <c r="A44" s="20" t="str">
        <f t="shared" si="0"/>
        <v>Amber</v>
      </c>
      <c r="B44" s="25" t="s">
        <v>9</v>
      </c>
      <c r="C44" s="22">
        <v>76</v>
      </c>
      <c r="D44" s="23">
        <v>0.51597222222222217</v>
      </c>
      <c r="E44" s="24">
        <v>44</v>
      </c>
      <c r="F44" s="22" t="s">
        <v>18</v>
      </c>
      <c r="G44" s="22">
        <v>57</v>
      </c>
      <c r="H44" s="22">
        <v>638459</v>
      </c>
    </row>
    <row r="45" spans="1:8" x14ac:dyDescent="0.25">
      <c r="A45" s="20" t="str">
        <f t="shared" si="0"/>
        <v>Amber</v>
      </c>
      <c r="B45" s="21" t="s">
        <v>7</v>
      </c>
      <c r="C45" s="22">
        <v>90</v>
      </c>
      <c r="D45" s="23">
        <v>0.51597222222222217</v>
      </c>
      <c r="E45" s="24">
        <v>44.15</v>
      </c>
      <c r="F45" s="22">
        <v>53</v>
      </c>
      <c r="G45" s="22">
        <v>40</v>
      </c>
      <c r="H45" s="22">
        <v>638459</v>
      </c>
    </row>
    <row r="46" spans="1:8" x14ac:dyDescent="0.25">
      <c r="A46" s="20" t="str">
        <f t="shared" si="0"/>
        <v>Red</v>
      </c>
      <c r="B46" s="25" t="s">
        <v>9</v>
      </c>
      <c r="C46" s="22">
        <v>93</v>
      </c>
      <c r="D46" s="23">
        <v>0.51597222222222217</v>
      </c>
      <c r="E46" s="24">
        <v>44.17</v>
      </c>
      <c r="F46" s="22" t="s">
        <v>18</v>
      </c>
      <c r="G46" s="22">
        <v>38</v>
      </c>
      <c r="H46" s="22">
        <v>638459</v>
      </c>
    </row>
    <row r="47" spans="1:8" x14ac:dyDescent="0.25">
      <c r="A47" s="20" t="str">
        <f t="shared" si="0"/>
        <v>Amber</v>
      </c>
      <c r="B47" s="21" t="s">
        <v>7</v>
      </c>
      <c r="C47" s="22">
        <v>82</v>
      </c>
      <c r="D47" s="23">
        <v>0.51666666666666672</v>
      </c>
      <c r="E47" s="24">
        <v>44.59</v>
      </c>
      <c r="F47" s="22">
        <v>33</v>
      </c>
      <c r="G47" s="22">
        <v>14</v>
      </c>
      <c r="H47" s="22">
        <v>638459</v>
      </c>
    </row>
    <row r="48" spans="1:8" x14ac:dyDescent="0.25">
      <c r="A48" s="20" t="str">
        <f t="shared" si="0"/>
        <v>Amber</v>
      </c>
      <c r="B48" s="25" t="s">
        <v>9</v>
      </c>
      <c r="C48" s="22">
        <v>56</v>
      </c>
      <c r="D48" s="23">
        <v>0.51874999999999993</v>
      </c>
      <c r="E48" s="24">
        <v>45.25</v>
      </c>
      <c r="F48" s="22" t="s">
        <v>18</v>
      </c>
      <c r="G48" s="22">
        <v>52</v>
      </c>
      <c r="H48" s="22">
        <v>638459</v>
      </c>
    </row>
    <row r="49" spans="1:8" x14ac:dyDescent="0.25">
      <c r="A49" s="20" t="str">
        <f t="shared" si="0"/>
        <v>Amber</v>
      </c>
      <c r="B49" s="21" t="s">
        <v>7</v>
      </c>
      <c r="C49" s="22">
        <v>34</v>
      </c>
      <c r="D49" s="23">
        <v>0.51944444444444449</v>
      </c>
      <c r="E49" s="24">
        <v>45.97</v>
      </c>
      <c r="F49" s="22">
        <v>59</v>
      </c>
      <c r="G49" s="22">
        <v>35</v>
      </c>
      <c r="H49" s="22">
        <v>638459</v>
      </c>
    </row>
    <row r="50" spans="1:8" x14ac:dyDescent="0.25">
      <c r="A50" s="20" t="str">
        <f t="shared" si="0"/>
        <v>Amber</v>
      </c>
      <c r="B50" s="21" t="s">
        <v>7</v>
      </c>
      <c r="C50" s="22">
        <v>43</v>
      </c>
      <c r="D50" s="23">
        <v>0.52083333333333337</v>
      </c>
      <c r="E50" s="24">
        <v>46.42</v>
      </c>
      <c r="F50" s="22">
        <v>38</v>
      </c>
      <c r="G50" s="22">
        <v>26</v>
      </c>
      <c r="H50" s="22">
        <v>638459</v>
      </c>
    </row>
    <row r="51" spans="1:8" x14ac:dyDescent="0.25">
      <c r="A51" s="20" t="str">
        <f t="shared" si="0"/>
        <v>Amber</v>
      </c>
      <c r="B51" s="21" t="s">
        <v>5</v>
      </c>
      <c r="C51" s="22">
        <v>2</v>
      </c>
      <c r="D51" s="23">
        <v>0.52152777777777781</v>
      </c>
      <c r="E51" s="24">
        <v>46.93</v>
      </c>
      <c r="F51" s="22">
        <v>50</v>
      </c>
      <c r="G51" s="22">
        <v>64</v>
      </c>
      <c r="H51" s="22">
        <v>638459</v>
      </c>
    </row>
    <row r="52" spans="1:8" x14ac:dyDescent="0.25">
      <c r="A52" s="20" t="str">
        <f t="shared" si="0"/>
        <v>Amber</v>
      </c>
      <c r="B52" s="25" t="s">
        <v>9</v>
      </c>
      <c r="C52" s="22">
        <v>57</v>
      </c>
      <c r="D52" s="23">
        <v>0.52361111111111114</v>
      </c>
      <c r="E52" s="24">
        <v>48.98</v>
      </c>
      <c r="F52" s="22" t="s">
        <v>18</v>
      </c>
      <c r="G52" s="22">
        <v>25</v>
      </c>
      <c r="H52" s="22">
        <v>638459</v>
      </c>
    </row>
    <row r="53" spans="1:8" x14ac:dyDescent="0.25">
      <c r="A53" s="20" t="str">
        <f t="shared" si="0"/>
        <v>Amber</v>
      </c>
      <c r="B53" s="21" t="s">
        <v>5</v>
      </c>
      <c r="C53" s="22">
        <v>42</v>
      </c>
      <c r="D53" s="23">
        <v>0.52361111111111114</v>
      </c>
      <c r="E53" s="24">
        <v>49.1</v>
      </c>
      <c r="F53" s="22">
        <v>30</v>
      </c>
      <c r="G53" s="22">
        <v>32</v>
      </c>
      <c r="H53" s="22">
        <v>638459</v>
      </c>
    </row>
    <row r="54" spans="1:8" x14ac:dyDescent="0.25">
      <c r="A54" s="20" t="str">
        <f t="shared" si="0"/>
        <v>Amber</v>
      </c>
      <c r="B54" s="21" t="s">
        <v>5</v>
      </c>
      <c r="C54" s="22">
        <v>2</v>
      </c>
      <c r="D54" s="23">
        <v>0.52430555555555558</v>
      </c>
      <c r="E54" s="24">
        <v>49.5</v>
      </c>
      <c r="F54" s="22">
        <v>30</v>
      </c>
      <c r="G54" s="22">
        <v>33</v>
      </c>
      <c r="H54" s="22">
        <v>638459</v>
      </c>
    </row>
    <row r="55" spans="1:8" x14ac:dyDescent="0.25">
      <c r="A55" s="20" t="str">
        <f t="shared" si="0"/>
        <v>Amber</v>
      </c>
      <c r="B55" s="25" t="s">
        <v>9</v>
      </c>
      <c r="C55" s="22">
        <v>62</v>
      </c>
      <c r="D55" s="23">
        <v>0.52569444444444446</v>
      </c>
      <c r="E55" s="24">
        <v>50.14</v>
      </c>
      <c r="F55" s="22" t="s">
        <v>18</v>
      </c>
      <c r="G55" s="22">
        <v>38</v>
      </c>
      <c r="H55" s="22">
        <v>638459</v>
      </c>
    </row>
    <row r="56" spans="1:8" x14ac:dyDescent="0.25">
      <c r="A56" s="20" t="str">
        <f t="shared" si="0"/>
        <v>Amber</v>
      </c>
      <c r="B56" s="21" t="s">
        <v>5</v>
      </c>
      <c r="C56" s="22">
        <v>56</v>
      </c>
      <c r="D56" s="23">
        <v>0.52569444444444446</v>
      </c>
      <c r="E56" s="24">
        <v>50.7</v>
      </c>
      <c r="F56" s="22">
        <v>30</v>
      </c>
      <c r="G56" s="22">
        <v>45</v>
      </c>
      <c r="H56" s="22">
        <v>638459</v>
      </c>
    </row>
    <row r="57" spans="1:8" x14ac:dyDescent="0.25">
      <c r="A57" s="20" t="str">
        <f t="shared" si="0"/>
        <v>Amber</v>
      </c>
      <c r="B57" s="25" t="s">
        <v>9</v>
      </c>
      <c r="C57" s="22">
        <v>60</v>
      </c>
      <c r="D57" s="23">
        <v>0.52569444444444446</v>
      </c>
      <c r="E57" s="24">
        <v>50.72</v>
      </c>
      <c r="F57" s="22" t="s">
        <v>18</v>
      </c>
      <c r="G57" s="22">
        <v>47</v>
      </c>
      <c r="H57" s="22">
        <v>638459</v>
      </c>
    </row>
    <row r="58" spans="1:8" x14ac:dyDescent="0.25">
      <c r="A58" s="20" t="str">
        <f t="shared" si="0"/>
        <v>Amber</v>
      </c>
      <c r="B58" s="21" t="s">
        <v>7</v>
      </c>
      <c r="C58" s="22">
        <v>69</v>
      </c>
      <c r="D58" s="23">
        <v>0.52638888888888891</v>
      </c>
      <c r="E58" s="24">
        <v>50.81</v>
      </c>
      <c r="F58" s="22">
        <v>24</v>
      </c>
      <c r="G58" s="22">
        <v>11</v>
      </c>
      <c r="H58" s="22">
        <v>638459</v>
      </c>
    </row>
    <row r="59" spans="1:8" x14ac:dyDescent="0.25">
      <c r="A59" s="20" t="str">
        <f t="shared" si="0"/>
        <v>Amber</v>
      </c>
      <c r="B59" s="25" t="s">
        <v>9</v>
      </c>
      <c r="C59" s="22">
        <v>62</v>
      </c>
      <c r="D59" s="23">
        <v>0.52638888888888891</v>
      </c>
      <c r="E59" s="24">
        <v>50.92</v>
      </c>
      <c r="F59" s="22" t="s">
        <v>18</v>
      </c>
      <c r="G59" s="22">
        <v>46</v>
      </c>
      <c r="H59" s="22">
        <v>638459</v>
      </c>
    </row>
    <row r="60" spans="1:8" x14ac:dyDescent="0.25">
      <c r="A60" s="20" t="str">
        <f t="shared" si="0"/>
        <v>Amber</v>
      </c>
      <c r="B60" s="21" t="s">
        <v>7</v>
      </c>
      <c r="C60" s="22">
        <v>72</v>
      </c>
      <c r="D60" s="23">
        <v>0.52986111111111112</v>
      </c>
      <c r="E60" s="24">
        <v>53.01</v>
      </c>
      <c r="F60" s="22">
        <v>38</v>
      </c>
      <c r="G60" s="22">
        <v>23</v>
      </c>
      <c r="H60" s="22">
        <v>638459</v>
      </c>
    </row>
    <row r="61" spans="1:8" x14ac:dyDescent="0.25">
      <c r="A61" s="20" t="str">
        <f t="shared" si="0"/>
        <v>Amber</v>
      </c>
      <c r="B61" s="21" t="s">
        <v>5</v>
      </c>
      <c r="C61" s="22">
        <v>39</v>
      </c>
      <c r="D61" s="23">
        <v>0.53055555555555556</v>
      </c>
      <c r="E61" s="24">
        <v>53.67</v>
      </c>
      <c r="F61" s="22">
        <v>50</v>
      </c>
      <c r="G61" s="22">
        <v>70</v>
      </c>
      <c r="H61" s="22">
        <v>641655</v>
      </c>
    </row>
    <row r="62" spans="1:8" x14ac:dyDescent="0.25">
      <c r="A62" s="20" t="str">
        <f t="shared" si="0"/>
        <v>Amber</v>
      </c>
      <c r="B62" s="21" t="s">
        <v>5</v>
      </c>
      <c r="C62" s="22">
        <v>21</v>
      </c>
      <c r="D62" s="23">
        <v>0.53194444444444444</v>
      </c>
      <c r="E62" s="24">
        <v>54.74</v>
      </c>
      <c r="F62" s="22">
        <v>30</v>
      </c>
      <c r="G62" s="22">
        <v>36</v>
      </c>
      <c r="H62" s="22">
        <v>641655</v>
      </c>
    </row>
    <row r="63" spans="1:8" x14ac:dyDescent="0.25">
      <c r="A63" s="20" t="str">
        <f t="shared" si="0"/>
        <v>Red</v>
      </c>
      <c r="B63" s="25" t="s">
        <v>9</v>
      </c>
      <c r="C63" s="22">
        <v>100</v>
      </c>
      <c r="D63" s="23">
        <v>0.53194444444444444</v>
      </c>
      <c r="E63" s="24">
        <v>54.75</v>
      </c>
      <c r="F63" s="22" t="s">
        <v>18</v>
      </c>
      <c r="G63" s="22">
        <v>37</v>
      </c>
      <c r="H63" s="22">
        <v>641655</v>
      </c>
    </row>
    <row r="64" spans="1:8" x14ac:dyDescent="0.25">
      <c r="A64" s="20" t="str">
        <f t="shared" si="0"/>
        <v>Amber</v>
      </c>
      <c r="B64" s="25" t="s">
        <v>9</v>
      </c>
      <c r="C64" s="22">
        <v>67</v>
      </c>
      <c r="D64" s="23">
        <v>0.53263888888888888</v>
      </c>
      <c r="E64" s="24">
        <v>55.19</v>
      </c>
      <c r="F64" s="22" t="s">
        <v>18</v>
      </c>
      <c r="G64" s="22">
        <v>50</v>
      </c>
      <c r="H64" s="22">
        <v>641655</v>
      </c>
    </row>
    <row r="65" spans="1:8" x14ac:dyDescent="0.25">
      <c r="A65" s="20" t="str">
        <f t="shared" si="0"/>
        <v>Amber</v>
      </c>
      <c r="B65" s="21" t="s">
        <v>7</v>
      </c>
      <c r="C65" s="22">
        <v>83</v>
      </c>
      <c r="D65" s="23">
        <v>0.53333333333333333</v>
      </c>
      <c r="E65" s="24">
        <v>55.7</v>
      </c>
      <c r="F65" s="22">
        <v>21</v>
      </c>
      <c r="G65" s="22">
        <v>1</v>
      </c>
      <c r="H65" s="22">
        <v>641655</v>
      </c>
    </row>
    <row r="66" spans="1:8" x14ac:dyDescent="0.25">
      <c r="A66" s="20" t="str">
        <f t="shared" si="0"/>
        <v>Amber</v>
      </c>
      <c r="B66" s="21" t="s">
        <v>5</v>
      </c>
      <c r="C66" s="22">
        <v>32</v>
      </c>
      <c r="D66" s="23">
        <v>0.54166666666666663</v>
      </c>
      <c r="E66" s="24">
        <v>55.83</v>
      </c>
      <c r="F66" s="22">
        <v>30</v>
      </c>
      <c r="G66" s="22">
        <v>46</v>
      </c>
      <c r="H66" s="22">
        <v>641655</v>
      </c>
    </row>
    <row r="67" spans="1:8" x14ac:dyDescent="0.25">
      <c r="A67" s="20" t="str">
        <f t="shared" ref="A67:A78" si="1">IF(C67&gt;$L$1,$K$5,$K$6)</f>
        <v>Amber</v>
      </c>
      <c r="B67" s="21" t="s">
        <v>5</v>
      </c>
      <c r="C67" s="22">
        <v>1</v>
      </c>
      <c r="D67" s="23">
        <v>0.55833333333333335</v>
      </c>
      <c r="E67" s="24">
        <v>56.93</v>
      </c>
      <c r="F67" s="22">
        <v>30</v>
      </c>
      <c r="G67" s="22">
        <v>34</v>
      </c>
      <c r="H67" s="22">
        <v>641655</v>
      </c>
    </row>
    <row r="68" spans="1:8" x14ac:dyDescent="0.25">
      <c r="A68" s="20" t="str">
        <f t="shared" si="1"/>
        <v>Amber</v>
      </c>
      <c r="B68" s="25" t="s">
        <v>9</v>
      </c>
      <c r="C68" s="22">
        <v>52</v>
      </c>
      <c r="D68" s="23">
        <v>0.55833333333333335</v>
      </c>
      <c r="E68" s="24">
        <v>57.32</v>
      </c>
      <c r="F68" s="22" t="s">
        <v>18</v>
      </c>
      <c r="G68" s="22">
        <v>33</v>
      </c>
      <c r="H68" s="22">
        <v>641655</v>
      </c>
    </row>
    <row r="69" spans="1:8" x14ac:dyDescent="0.25">
      <c r="A69" s="20" t="str">
        <f t="shared" si="1"/>
        <v>Amber</v>
      </c>
      <c r="B69" s="25" t="s">
        <v>9</v>
      </c>
      <c r="C69" s="22">
        <v>73</v>
      </c>
      <c r="D69" s="23">
        <v>0.55972222222222223</v>
      </c>
      <c r="E69" s="24">
        <v>58.37</v>
      </c>
      <c r="F69" s="22" t="s">
        <v>18</v>
      </c>
      <c r="G69" s="22">
        <v>56</v>
      </c>
      <c r="H69" s="22">
        <v>638459</v>
      </c>
    </row>
    <row r="70" spans="1:8" x14ac:dyDescent="0.25">
      <c r="A70" s="20" t="str">
        <f t="shared" si="1"/>
        <v>Red</v>
      </c>
      <c r="B70" s="21" t="s">
        <v>5</v>
      </c>
      <c r="C70" s="22">
        <v>97</v>
      </c>
      <c r="D70" s="23">
        <v>0.56041666666666667</v>
      </c>
      <c r="E70" s="24">
        <v>58.4</v>
      </c>
      <c r="F70" s="22">
        <v>50</v>
      </c>
      <c r="G70" s="22">
        <v>55</v>
      </c>
      <c r="H70" s="22">
        <v>638459</v>
      </c>
    </row>
    <row r="71" spans="1:8" x14ac:dyDescent="0.25">
      <c r="A71" s="20" t="str">
        <f t="shared" si="1"/>
        <v>Amber</v>
      </c>
      <c r="B71" s="25" t="s">
        <v>9</v>
      </c>
      <c r="C71" s="22">
        <v>73</v>
      </c>
      <c r="D71" s="23">
        <v>0.56041666666666667</v>
      </c>
      <c r="E71" s="24">
        <v>58.77</v>
      </c>
      <c r="F71" s="22" t="s">
        <v>18</v>
      </c>
      <c r="G71" s="22">
        <v>42</v>
      </c>
      <c r="H71" s="22">
        <v>638459</v>
      </c>
    </row>
    <row r="72" spans="1:8" x14ac:dyDescent="0.25">
      <c r="A72" s="20" t="str">
        <f t="shared" si="1"/>
        <v>Amber</v>
      </c>
      <c r="B72" s="21" t="s">
        <v>5</v>
      </c>
      <c r="C72" s="22">
        <v>52</v>
      </c>
      <c r="D72" s="23">
        <v>0.56180555555555556</v>
      </c>
      <c r="E72" s="24">
        <v>60.5</v>
      </c>
      <c r="F72" s="22">
        <v>50</v>
      </c>
      <c r="G72" s="22">
        <v>64</v>
      </c>
      <c r="H72" s="22">
        <v>638459</v>
      </c>
    </row>
    <row r="73" spans="1:8" x14ac:dyDescent="0.25">
      <c r="A73" s="20" t="str">
        <f t="shared" si="1"/>
        <v>Amber</v>
      </c>
      <c r="B73" s="25" t="s">
        <v>9</v>
      </c>
      <c r="C73" s="22">
        <v>59</v>
      </c>
      <c r="D73" s="23">
        <v>0.56180555555555556</v>
      </c>
      <c r="E73" s="24">
        <v>60.52</v>
      </c>
      <c r="F73" s="22" t="s">
        <v>18</v>
      </c>
      <c r="G73" s="22">
        <v>56</v>
      </c>
      <c r="H73" s="22">
        <v>638459</v>
      </c>
    </row>
    <row r="74" spans="1:8" x14ac:dyDescent="0.25">
      <c r="A74" s="20" t="str">
        <f t="shared" si="1"/>
        <v>Red</v>
      </c>
      <c r="B74" s="21" t="s">
        <v>7</v>
      </c>
      <c r="C74" s="22">
        <v>94</v>
      </c>
      <c r="D74" s="23">
        <v>0.5625</v>
      </c>
      <c r="E74" s="24">
        <v>60.77</v>
      </c>
      <c r="F74" s="22">
        <v>39</v>
      </c>
      <c r="G74" s="22">
        <v>26</v>
      </c>
      <c r="H74" s="22">
        <v>638459</v>
      </c>
    </row>
    <row r="75" spans="1:8" x14ac:dyDescent="0.25">
      <c r="A75" s="20" t="str">
        <f t="shared" si="1"/>
        <v>Amber</v>
      </c>
      <c r="B75" s="21" t="s">
        <v>7</v>
      </c>
      <c r="C75" s="22">
        <v>36</v>
      </c>
      <c r="D75" s="23">
        <v>0.5625</v>
      </c>
      <c r="E75" s="24">
        <v>60.82</v>
      </c>
      <c r="F75" s="22">
        <v>27</v>
      </c>
      <c r="G75" s="22">
        <v>14</v>
      </c>
      <c r="H75" s="22">
        <v>638459</v>
      </c>
    </row>
    <row r="76" spans="1:8" x14ac:dyDescent="0.25">
      <c r="A76" s="20" t="str">
        <f t="shared" si="1"/>
        <v>Amber</v>
      </c>
      <c r="B76" s="25" t="s">
        <v>9</v>
      </c>
      <c r="C76" s="22">
        <v>52</v>
      </c>
      <c r="D76" s="23">
        <v>0.5625</v>
      </c>
      <c r="E76" s="24">
        <v>60.96</v>
      </c>
      <c r="F76" s="22" t="s">
        <v>18</v>
      </c>
      <c r="G76" s="22">
        <v>42</v>
      </c>
      <c r="H76" s="22">
        <v>638459</v>
      </c>
    </row>
    <row r="77" spans="1:8" x14ac:dyDescent="0.25">
      <c r="A77" s="20" t="str">
        <f t="shared" si="1"/>
        <v>Amber</v>
      </c>
      <c r="B77" s="25" t="s">
        <v>9</v>
      </c>
      <c r="C77" s="22">
        <v>69</v>
      </c>
      <c r="D77" s="23">
        <v>0.5625</v>
      </c>
      <c r="E77" s="24">
        <v>61.14</v>
      </c>
      <c r="F77" s="22" t="s">
        <v>18</v>
      </c>
      <c r="G77" s="22">
        <v>39</v>
      </c>
      <c r="H77" s="22">
        <v>638459</v>
      </c>
    </row>
    <row r="78" spans="1:8" x14ac:dyDescent="0.25">
      <c r="A78" s="20" t="str">
        <f t="shared" si="1"/>
        <v>Amber</v>
      </c>
      <c r="B78" s="25" t="s">
        <v>11</v>
      </c>
      <c r="C78" s="22">
        <v>59</v>
      </c>
      <c r="D78" s="23">
        <v>0.56527777777777777</v>
      </c>
      <c r="E78" s="24">
        <v>62.63</v>
      </c>
      <c r="F78" s="22" t="s">
        <v>18</v>
      </c>
      <c r="G78" s="22">
        <v>17</v>
      </c>
      <c r="H78" s="22">
        <v>638459</v>
      </c>
    </row>
  </sheetData>
  <autoFilter ref="A1:H78" xr:uid="{06ECE446-11B2-49EE-9C85-FC7FDBEC5D9D}"/>
  <conditionalFormatting sqref="A2:A78">
    <cfRule type="cellIs" dxfId="85" priority="1" operator="equal">
      <formula>"Red"</formula>
    </cfRule>
    <cfRule type="cellIs" dxfId="84" priority="2" operator="equal">
      <formula>"Amber"</formula>
    </cfRule>
    <cfRule type="cellIs" priority="3" operator="equal">
      <formula>"Amber"</formula>
    </cfRule>
    <cfRule type="cellIs" dxfId="83" priority="4" operator="equal">
      <formula>"Amber"</formula>
    </cfRule>
    <cfRule type="cellIs" dxfId="82" priority="5" operator="equal">
      <formula>"Blue"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A4199-BDD1-4B06-820A-406EB84C9F99}">
  <sheetPr codeName="Sheet4">
    <tabColor theme="4" tint="0.59999389629810485"/>
  </sheetPr>
  <dimension ref="A1:O78"/>
  <sheetViews>
    <sheetView zoomScaleNormal="100" workbookViewId="0">
      <selection activeCell="M24" sqref="M24"/>
    </sheetView>
  </sheetViews>
  <sheetFormatPr defaultRowHeight="15" x14ac:dyDescent="0.25"/>
  <cols>
    <col min="1" max="1" width="15.42578125" style="5" bestFit="1" customWidth="1"/>
    <col min="2" max="2" width="16" bestFit="1" customWidth="1"/>
    <col min="3" max="3" width="13.140625" bestFit="1" customWidth="1"/>
    <col min="4" max="4" width="9.7109375" style="2" bestFit="1" customWidth="1"/>
    <col min="5" max="5" width="16.140625" style="2" bestFit="1" customWidth="1"/>
    <col min="6" max="6" width="16" style="3" bestFit="1" customWidth="1"/>
    <col min="7" max="7" width="10.140625" style="1" bestFit="1" customWidth="1"/>
    <col min="8" max="8" width="12" style="1" bestFit="1" customWidth="1"/>
    <col min="9" max="9" width="11.42578125" bestFit="1" customWidth="1"/>
    <col min="10" max="10" width="13.7109375" bestFit="1" customWidth="1"/>
    <col min="12" max="14" width="12.5703125" customWidth="1"/>
    <col min="15" max="15" width="14.140625" style="6" bestFit="1" customWidth="1"/>
    <col min="17" max="17" width="15.140625" bestFit="1" customWidth="1"/>
  </cols>
  <sheetData>
    <row r="1" spans="1:15" x14ac:dyDescent="0.25">
      <c r="A1" s="10" t="s">
        <v>15</v>
      </c>
      <c r="B1" s="11" t="s">
        <v>16</v>
      </c>
      <c r="C1" s="12" t="s">
        <v>4</v>
      </c>
      <c r="D1" s="13" t="s">
        <v>17</v>
      </c>
      <c r="E1" s="13" t="s">
        <v>0</v>
      </c>
      <c r="F1" s="12" t="s">
        <v>1</v>
      </c>
      <c r="G1" s="12" t="s">
        <v>2</v>
      </c>
      <c r="H1" s="12" t="s">
        <v>3</v>
      </c>
      <c r="I1" s="27" t="s">
        <v>20</v>
      </c>
      <c r="J1" s="27" t="s">
        <v>21</v>
      </c>
      <c r="K1" s="26"/>
      <c r="L1" s="32" t="s">
        <v>19</v>
      </c>
      <c r="M1" s="29">
        <v>90</v>
      </c>
      <c r="N1" s="31"/>
      <c r="O1" s="29" t="s">
        <v>22</v>
      </c>
    </row>
    <row r="2" spans="1:15" x14ac:dyDescent="0.25">
      <c r="A2" s="14" t="str">
        <f>IF(C2&gt;$M$1,$L$5,$L$6)</f>
        <v>Amber</v>
      </c>
      <c r="B2" s="15" t="s">
        <v>5</v>
      </c>
      <c r="C2" s="16">
        <v>22</v>
      </c>
      <c r="D2" s="17">
        <v>0.47013888888888888</v>
      </c>
      <c r="E2" s="18">
        <v>0.51</v>
      </c>
      <c r="F2" s="16">
        <v>40</v>
      </c>
      <c r="G2" s="16">
        <v>48</v>
      </c>
      <c r="H2" s="16">
        <v>641035</v>
      </c>
      <c r="I2" s="28" t="e">
        <f t="shared" ref="I2:I33" si="0">IF(C2&gt;$M$1,C2,NA())</f>
        <v>#N/A</v>
      </c>
      <c r="J2" s="28">
        <f t="shared" ref="J2:J33" si="1">IF(C2&lt;=$M$1,C2,NA())</f>
        <v>22</v>
      </c>
      <c r="K2" s="26"/>
      <c r="L2" s="31"/>
      <c r="M2" s="31"/>
      <c r="N2" s="31"/>
      <c r="O2" s="30">
        <f>COUNTIF(C2:C78,"&gt;90")</f>
        <v>8</v>
      </c>
    </row>
    <row r="3" spans="1:15" x14ac:dyDescent="0.25">
      <c r="A3" s="14" t="str">
        <f t="shared" ref="A3:A66" si="2">IF(C3&gt;$M$1,$L$5,$L$6)</f>
        <v>Amber</v>
      </c>
      <c r="B3" s="15" t="s">
        <v>6</v>
      </c>
      <c r="C3" s="16">
        <v>2</v>
      </c>
      <c r="D3" s="17">
        <v>0.47083333333333338</v>
      </c>
      <c r="E3" s="18">
        <v>1.39</v>
      </c>
      <c r="F3" s="16" t="s">
        <v>18</v>
      </c>
      <c r="G3" s="16">
        <v>46</v>
      </c>
      <c r="H3" s="16">
        <v>641035</v>
      </c>
      <c r="I3" s="28" t="e">
        <f t="shared" si="0"/>
        <v>#N/A</v>
      </c>
      <c r="J3" s="28">
        <f t="shared" si="1"/>
        <v>2</v>
      </c>
      <c r="K3" s="26"/>
      <c r="L3" s="31"/>
      <c r="M3" s="31"/>
      <c r="N3" s="31"/>
      <c r="O3" s="29" t="s">
        <v>23</v>
      </c>
    </row>
    <row r="4" spans="1:15" x14ac:dyDescent="0.25">
      <c r="A4" s="14" t="str">
        <f t="shared" si="2"/>
        <v>Amber</v>
      </c>
      <c r="B4" s="15" t="s">
        <v>7</v>
      </c>
      <c r="C4" s="16">
        <v>10</v>
      </c>
      <c r="D4" s="17">
        <v>0.47083333333333338</v>
      </c>
      <c r="E4" s="18">
        <v>1.68</v>
      </c>
      <c r="F4" s="16">
        <v>60</v>
      </c>
      <c r="G4" s="16">
        <v>43</v>
      </c>
      <c r="H4" s="16">
        <v>641035</v>
      </c>
      <c r="I4" s="28" t="e">
        <f t="shared" si="0"/>
        <v>#N/A</v>
      </c>
      <c r="J4" s="28">
        <f t="shared" si="1"/>
        <v>10</v>
      </c>
      <c r="K4" s="26"/>
      <c r="L4" s="31"/>
      <c r="M4" s="31"/>
      <c r="N4" s="31"/>
      <c r="O4" s="30">
        <f>COUNTIF(C2:C78,"&lt;=90")</f>
        <v>69</v>
      </c>
    </row>
    <row r="5" spans="1:15" x14ac:dyDescent="0.25">
      <c r="A5" s="14" t="str">
        <f t="shared" si="2"/>
        <v>Amber</v>
      </c>
      <c r="B5" s="19" t="s">
        <v>11</v>
      </c>
      <c r="C5" s="16">
        <v>51</v>
      </c>
      <c r="D5" s="17">
        <v>0.47152777777777777</v>
      </c>
      <c r="E5" s="18">
        <v>2.0099999999999998</v>
      </c>
      <c r="F5" s="16" t="s">
        <v>18</v>
      </c>
      <c r="G5" s="16">
        <v>52</v>
      </c>
      <c r="H5" s="16">
        <v>641035</v>
      </c>
      <c r="I5" s="28" t="e">
        <f t="shared" si="0"/>
        <v>#N/A</v>
      </c>
      <c r="J5" s="28">
        <f t="shared" si="1"/>
        <v>51</v>
      </c>
      <c r="K5" s="26"/>
      <c r="L5" s="29" t="s">
        <v>14</v>
      </c>
      <c r="M5" s="31"/>
      <c r="N5" s="31"/>
      <c r="O5" s="31"/>
    </row>
    <row r="6" spans="1:15" x14ac:dyDescent="0.25">
      <c r="A6" s="14" t="str">
        <f t="shared" si="2"/>
        <v>Red</v>
      </c>
      <c r="B6" s="15" t="s">
        <v>7</v>
      </c>
      <c r="C6" s="16">
        <v>91</v>
      </c>
      <c r="D6" s="17">
        <v>0.47361111111111115</v>
      </c>
      <c r="E6" s="18">
        <v>3.88</v>
      </c>
      <c r="F6" s="16">
        <v>30</v>
      </c>
      <c r="G6" s="16">
        <v>13</v>
      </c>
      <c r="H6" s="16">
        <v>641035</v>
      </c>
      <c r="I6" s="28">
        <f t="shared" si="0"/>
        <v>91</v>
      </c>
      <c r="J6" s="28" t="e">
        <f t="shared" si="1"/>
        <v>#N/A</v>
      </c>
      <c r="K6" s="26"/>
      <c r="L6" s="33" t="s">
        <v>13</v>
      </c>
      <c r="M6" s="31"/>
      <c r="N6" s="31"/>
      <c r="O6" s="31"/>
    </row>
    <row r="7" spans="1:15" x14ac:dyDescent="0.25">
      <c r="A7" s="14" t="str">
        <f t="shared" si="2"/>
        <v>Red</v>
      </c>
      <c r="B7" s="15" t="s">
        <v>7</v>
      </c>
      <c r="C7" s="16">
        <v>94</v>
      </c>
      <c r="D7" s="17">
        <v>0.47500000000000003</v>
      </c>
      <c r="E7" s="18">
        <v>7.5</v>
      </c>
      <c r="F7" s="16">
        <v>16</v>
      </c>
      <c r="G7" s="16">
        <v>1</v>
      </c>
      <c r="H7" s="16">
        <v>641035</v>
      </c>
      <c r="I7" s="28">
        <f t="shared" si="0"/>
        <v>94</v>
      </c>
      <c r="J7" s="28" t="e">
        <f t="shared" si="1"/>
        <v>#N/A</v>
      </c>
      <c r="K7" s="26"/>
      <c r="L7" s="26"/>
      <c r="M7" s="26"/>
      <c r="N7" s="26"/>
      <c r="O7" s="31"/>
    </row>
    <row r="8" spans="1:15" x14ac:dyDescent="0.25">
      <c r="A8" s="14" t="str">
        <f t="shared" si="2"/>
        <v>Amber</v>
      </c>
      <c r="B8" s="15" t="s">
        <v>7</v>
      </c>
      <c r="C8" s="16">
        <v>56</v>
      </c>
      <c r="D8" s="17">
        <v>0.47638888888888892</v>
      </c>
      <c r="E8" s="18">
        <v>8.48</v>
      </c>
      <c r="F8" s="16">
        <v>26</v>
      </c>
      <c r="G8" s="16">
        <v>9</v>
      </c>
      <c r="H8" s="16">
        <v>641107</v>
      </c>
      <c r="I8" s="28" t="e">
        <f t="shared" si="0"/>
        <v>#N/A</v>
      </c>
      <c r="J8" s="28">
        <f t="shared" si="1"/>
        <v>56</v>
      </c>
      <c r="K8" s="26"/>
      <c r="L8" s="26"/>
      <c r="M8" s="26"/>
      <c r="N8" s="26"/>
      <c r="O8" s="31"/>
    </row>
    <row r="9" spans="1:15" x14ac:dyDescent="0.25">
      <c r="A9" s="14" t="str">
        <f t="shared" si="2"/>
        <v>Amber</v>
      </c>
      <c r="B9" s="19" t="s">
        <v>11</v>
      </c>
      <c r="C9" s="16">
        <v>77</v>
      </c>
      <c r="D9" s="17">
        <v>0.47638888888888892</v>
      </c>
      <c r="E9" s="18">
        <v>8.5</v>
      </c>
      <c r="F9" s="16" t="s">
        <v>18</v>
      </c>
      <c r="G9" s="16">
        <v>23</v>
      </c>
      <c r="H9" s="16">
        <v>641107</v>
      </c>
      <c r="I9" s="28" t="e">
        <f t="shared" si="0"/>
        <v>#N/A</v>
      </c>
      <c r="J9" s="28">
        <f t="shared" si="1"/>
        <v>77</v>
      </c>
      <c r="K9" s="26"/>
      <c r="L9" s="26"/>
      <c r="M9" s="26"/>
      <c r="N9" s="26"/>
      <c r="O9" s="31"/>
    </row>
    <row r="10" spans="1:15" x14ac:dyDescent="0.25">
      <c r="A10" s="14" t="str">
        <f t="shared" si="2"/>
        <v>Amber</v>
      </c>
      <c r="B10" s="19" t="s">
        <v>12</v>
      </c>
      <c r="C10" s="16">
        <v>51</v>
      </c>
      <c r="D10" s="17">
        <v>0.4770833333333333</v>
      </c>
      <c r="E10" s="18">
        <v>8.77</v>
      </c>
      <c r="F10" s="16" t="s">
        <v>18</v>
      </c>
      <c r="G10" s="16">
        <v>46</v>
      </c>
      <c r="H10" s="16">
        <v>641107</v>
      </c>
      <c r="I10" s="28" t="e">
        <f t="shared" si="0"/>
        <v>#N/A</v>
      </c>
      <c r="J10" s="28">
        <f t="shared" si="1"/>
        <v>51</v>
      </c>
      <c r="K10" s="26"/>
      <c r="L10" s="26"/>
      <c r="M10" s="26"/>
      <c r="N10" s="26"/>
      <c r="O10" s="31"/>
    </row>
    <row r="11" spans="1:15" x14ac:dyDescent="0.25">
      <c r="A11" s="14" t="str">
        <f t="shared" si="2"/>
        <v>Red</v>
      </c>
      <c r="B11" s="19" t="s">
        <v>25</v>
      </c>
      <c r="C11" s="16">
        <v>99</v>
      </c>
      <c r="D11" s="17">
        <v>0.4826388888888889</v>
      </c>
      <c r="E11" s="18">
        <v>8.8699999999999992</v>
      </c>
      <c r="F11" s="16">
        <v>21</v>
      </c>
      <c r="G11" s="16">
        <v>81</v>
      </c>
      <c r="H11" s="16">
        <v>641107</v>
      </c>
      <c r="I11" s="28">
        <f t="shared" si="0"/>
        <v>99</v>
      </c>
      <c r="J11" s="28" t="e">
        <f t="shared" si="1"/>
        <v>#N/A</v>
      </c>
      <c r="K11" s="26"/>
      <c r="L11" s="26"/>
      <c r="M11" s="26"/>
      <c r="N11" s="26"/>
      <c r="O11" s="31"/>
    </row>
    <row r="12" spans="1:15" x14ac:dyDescent="0.25">
      <c r="A12" s="14" t="str">
        <f t="shared" si="2"/>
        <v>Amber</v>
      </c>
      <c r="B12" s="19" t="s">
        <v>12</v>
      </c>
      <c r="C12" s="16">
        <v>2</v>
      </c>
      <c r="D12" s="17">
        <v>0.48472222222222222</v>
      </c>
      <c r="E12" s="18">
        <v>10.9</v>
      </c>
      <c r="F12" s="16" t="s">
        <v>18</v>
      </c>
      <c r="G12" s="16">
        <v>41</v>
      </c>
      <c r="H12" s="16">
        <v>641107</v>
      </c>
      <c r="I12" s="28" t="e">
        <f t="shared" si="0"/>
        <v>#N/A</v>
      </c>
      <c r="J12" s="28">
        <f t="shared" si="1"/>
        <v>2</v>
      </c>
      <c r="K12" s="26"/>
      <c r="L12" s="26"/>
      <c r="M12" s="26"/>
      <c r="N12" s="26"/>
      <c r="O12" s="31"/>
    </row>
    <row r="13" spans="1:15" x14ac:dyDescent="0.25">
      <c r="A13" s="14" t="str">
        <f t="shared" si="2"/>
        <v>Amber</v>
      </c>
      <c r="B13" s="15" t="s">
        <v>7</v>
      </c>
      <c r="C13" s="16">
        <v>63</v>
      </c>
      <c r="D13" s="17">
        <v>0.48749999999999999</v>
      </c>
      <c r="E13" s="18">
        <v>13.73</v>
      </c>
      <c r="F13" s="16">
        <v>43</v>
      </c>
      <c r="G13" s="16">
        <v>30</v>
      </c>
      <c r="H13" s="16">
        <v>641107</v>
      </c>
      <c r="I13" s="28" t="e">
        <f t="shared" si="0"/>
        <v>#N/A</v>
      </c>
      <c r="J13" s="28">
        <f t="shared" si="1"/>
        <v>63</v>
      </c>
      <c r="K13" s="26"/>
      <c r="L13" s="26"/>
      <c r="M13" s="26"/>
      <c r="N13" s="26"/>
      <c r="O13" s="31"/>
    </row>
    <row r="14" spans="1:15" x14ac:dyDescent="0.25">
      <c r="A14" s="14" t="str">
        <f t="shared" si="2"/>
        <v>Amber</v>
      </c>
      <c r="B14" s="19" t="s">
        <v>11</v>
      </c>
      <c r="C14" s="16">
        <v>60</v>
      </c>
      <c r="D14" s="17">
        <v>0.48749999999999999</v>
      </c>
      <c r="E14" s="18">
        <v>13.95</v>
      </c>
      <c r="F14" s="16" t="s">
        <v>18</v>
      </c>
      <c r="G14" s="16">
        <v>35</v>
      </c>
      <c r="H14" s="16">
        <v>641107</v>
      </c>
      <c r="I14" s="28" t="e">
        <f t="shared" si="0"/>
        <v>#N/A</v>
      </c>
      <c r="J14" s="28">
        <f t="shared" si="1"/>
        <v>60</v>
      </c>
      <c r="K14" s="26"/>
      <c r="L14" s="26"/>
      <c r="M14" s="26"/>
      <c r="N14" s="26"/>
      <c r="O14" s="31"/>
    </row>
    <row r="15" spans="1:15" x14ac:dyDescent="0.25">
      <c r="A15" s="14" t="str">
        <f t="shared" si="2"/>
        <v>Amber</v>
      </c>
      <c r="B15" s="15" t="s">
        <v>7</v>
      </c>
      <c r="C15" s="16">
        <v>62</v>
      </c>
      <c r="D15" s="17">
        <v>0.48888888888888887</v>
      </c>
      <c r="E15" s="18">
        <v>15.25</v>
      </c>
      <c r="F15" s="16">
        <v>45</v>
      </c>
      <c r="G15" s="16">
        <v>29</v>
      </c>
      <c r="H15" s="16">
        <v>641107</v>
      </c>
      <c r="I15" s="28" t="e">
        <f t="shared" si="0"/>
        <v>#N/A</v>
      </c>
      <c r="J15" s="28">
        <f t="shared" si="1"/>
        <v>62</v>
      </c>
      <c r="K15" s="26"/>
      <c r="L15" s="26"/>
      <c r="M15" s="26"/>
      <c r="N15" s="26"/>
      <c r="O15" s="31"/>
    </row>
    <row r="16" spans="1:15" x14ac:dyDescent="0.25">
      <c r="A16" s="14" t="str">
        <f t="shared" si="2"/>
        <v>Amber</v>
      </c>
      <c r="B16" s="15" t="s">
        <v>7</v>
      </c>
      <c r="C16" s="16">
        <v>73</v>
      </c>
      <c r="D16" s="17">
        <v>0.4909722222222222</v>
      </c>
      <c r="E16" s="18">
        <v>17.57</v>
      </c>
      <c r="F16" s="16">
        <v>64</v>
      </c>
      <c r="G16" s="16">
        <v>22</v>
      </c>
      <c r="H16" s="16">
        <v>641107</v>
      </c>
      <c r="I16" s="28" t="e">
        <f t="shared" si="0"/>
        <v>#N/A</v>
      </c>
      <c r="J16" s="28">
        <f t="shared" si="1"/>
        <v>73</v>
      </c>
      <c r="K16" s="26"/>
      <c r="L16" s="26"/>
      <c r="M16" s="26"/>
      <c r="N16" s="26"/>
      <c r="O16" s="31"/>
    </row>
    <row r="17" spans="1:15" x14ac:dyDescent="0.25">
      <c r="A17" s="14" t="str">
        <f t="shared" si="2"/>
        <v>Amber</v>
      </c>
      <c r="B17" s="15" t="s">
        <v>7</v>
      </c>
      <c r="C17" s="16">
        <v>82</v>
      </c>
      <c r="D17" s="17">
        <v>0.49305555555555558</v>
      </c>
      <c r="E17" s="18">
        <v>21.29</v>
      </c>
      <c r="F17" s="16">
        <v>66</v>
      </c>
      <c r="G17" s="16">
        <v>52</v>
      </c>
      <c r="H17" s="16">
        <v>641653</v>
      </c>
      <c r="I17" s="28" t="e">
        <f t="shared" si="0"/>
        <v>#N/A</v>
      </c>
      <c r="J17" s="28">
        <f t="shared" si="1"/>
        <v>82</v>
      </c>
      <c r="K17" s="26"/>
      <c r="L17" s="26"/>
      <c r="M17" s="26"/>
      <c r="N17" s="26"/>
      <c r="O17" s="31"/>
    </row>
    <row r="18" spans="1:15" x14ac:dyDescent="0.25">
      <c r="A18" s="14" t="str">
        <f t="shared" si="2"/>
        <v>Amber</v>
      </c>
      <c r="B18" s="19" t="s">
        <v>11</v>
      </c>
      <c r="C18" s="16">
        <v>53</v>
      </c>
      <c r="D18" s="17">
        <v>0.49374999999999997</v>
      </c>
      <c r="E18" s="18">
        <v>21.61</v>
      </c>
      <c r="F18" s="16" t="s">
        <v>18</v>
      </c>
      <c r="G18" s="16">
        <v>45</v>
      </c>
      <c r="H18" s="16">
        <v>641653</v>
      </c>
      <c r="I18" s="28" t="e">
        <f t="shared" si="0"/>
        <v>#N/A</v>
      </c>
      <c r="J18" s="28">
        <f t="shared" si="1"/>
        <v>53</v>
      </c>
      <c r="K18" s="26"/>
      <c r="L18" s="26"/>
      <c r="M18" s="26"/>
      <c r="N18" s="26"/>
      <c r="O18" s="31"/>
    </row>
    <row r="19" spans="1:15" x14ac:dyDescent="0.25">
      <c r="A19" s="14" t="str">
        <f t="shared" si="2"/>
        <v>Amber</v>
      </c>
      <c r="B19" s="19" t="s">
        <v>11</v>
      </c>
      <c r="C19" s="16">
        <v>75</v>
      </c>
      <c r="D19" s="17">
        <v>0.49374999999999997</v>
      </c>
      <c r="E19" s="18">
        <v>21.65</v>
      </c>
      <c r="F19" s="16" t="s">
        <v>18</v>
      </c>
      <c r="G19" s="16">
        <v>46</v>
      </c>
      <c r="H19" s="16">
        <v>641653</v>
      </c>
      <c r="I19" s="28" t="e">
        <f t="shared" si="0"/>
        <v>#N/A</v>
      </c>
      <c r="J19" s="28">
        <f t="shared" si="1"/>
        <v>75</v>
      </c>
      <c r="K19" s="26"/>
      <c r="L19" s="26"/>
      <c r="M19" s="26"/>
      <c r="N19" s="26"/>
      <c r="O19" s="31"/>
    </row>
    <row r="20" spans="1:15" x14ac:dyDescent="0.25">
      <c r="A20" s="14" t="str">
        <f t="shared" si="2"/>
        <v>Amber</v>
      </c>
      <c r="B20" s="19" t="s">
        <v>12</v>
      </c>
      <c r="C20" s="16">
        <v>65</v>
      </c>
      <c r="D20" s="17">
        <v>0.49861111111111112</v>
      </c>
      <c r="E20" s="18">
        <v>26.47</v>
      </c>
      <c r="F20" s="16" t="s">
        <v>18</v>
      </c>
      <c r="G20" s="16">
        <v>63</v>
      </c>
      <c r="H20" s="16">
        <v>641653</v>
      </c>
      <c r="I20" s="28" t="e">
        <f t="shared" si="0"/>
        <v>#N/A</v>
      </c>
      <c r="J20" s="28">
        <f t="shared" si="1"/>
        <v>65</v>
      </c>
      <c r="K20" s="26"/>
      <c r="L20" s="26"/>
      <c r="M20" s="26"/>
      <c r="N20" s="26"/>
      <c r="O20" s="31"/>
    </row>
    <row r="21" spans="1:15" x14ac:dyDescent="0.25">
      <c r="A21" s="14" t="str">
        <f t="shared" si="2"/>
        <v>Amber</v>
      </c>
      <c r="B21" s="15" t="s">
        <v>7</v>
      </c>
      <c r="C21" s="16">
        <v>80</v>
      </c>
      <c r="D21" s="17">
        <v>0.50138888888888888</v>
      </c>
      <c r="E21" s="18">
        <v>30.87</v>
      </c>
      <c r="F21" s="16">
        <v>70</v>
      </c>
      <c r="G21" s="16">
        <v>52</v>
      </c>
      <c r="H21" s="16">
        <v>641653</v>
      </c>
      <c r="I21" s="28" t="e">
        <f t="shared" si="0"/>
        <v>#N/A</v>
      </c>
      <c r="J21" s="28">
        <f t="shared" si="1"/>
        <v>80</v>
      </c>
      <c r="K21" s="26"/>
      <c r="L21" s="26"/>
      <c r="M21" s="26"/>
      <c r="N21" s="26"/>
      <c r="O21" s="31"/>
    </row>
    <row r="22" spans="1:15" x14ac:dyDescent="0.25">
      <c r="A22" s="14" t="str">
        <f t="shared" si="2"/>
        <v>Amber</v>
      </c>
      <c r="B22" s="19" t="s">
        <v>8</v>
      </c>
      <c r="C22" s="16">
        <v>59</v>
      </c>
      <c r="D22" s="17">
        <v>0.50208333333333333</v>
      </c>
      <c r="E22" s="18">
        <v>30.93</v>
      </c>
      <c r="F22" s="16" t="s">
        <v>18</v>
      </c>
      <c r="G22" s="16">
        <v>40</v>
      </c>
      <c r="H22" s="16">
        <v>641653</v>
      </c>
      <c r="I22" s="28" t="e">
        <f t="shared" si="0"/>
        <v>#N/A</v>
      </c>
      <c r="J22" s="28">
        <f t="shared" si="1"/>
        <v>59</v>
      </c>
      <c r="K22" s="26"/>
      <c r="L22" s="26"/>
      <c r="M22" s="26"/>
      <c r="N22" s="26"/>
      <c r="O22" s="31"/>
    </row>
    <row r="23" spans="1:15" x14ac:dyDescent="0.25">
      <c r="A23" s="14" t="str">
        <f t="shared" si="2"/>
        <v>Amber</v>
      </c>
      <c r="B23" s="19" t="s">
        <v>8</v>
      </c>
      <c r="C23" s="16">
        <v>69</v>
      </c>
      <c r="D23" s="17">
        <v>0.50277777777777777</v>
      </c>
      <c r="E23" s="18">
        <v>30.93</v>
      </c>
      <c r="F23" s="16" t="s">
        <v>18</v>
      </c>
      <c r="G23" s="16">
        <v>40</v>
      </c>
      <c r="H23" s="16">
        <v>641653</v>
      </c>
      <c r="I23" s="28" t="e">
        <f t="shared" si="0"/>
        <v>#N/A</v>
      </c>
      <c r="J23" s="28">
        <f t="shared" si="1"/>
        <v>69</v>
      </c>
      <c r="K23" s="26"/>
      <c r="L23" s="26"/>
      <c r="M23" s="26"/>
      <c r="N23" s="26"/>
      <c r="O23" s="31"/>
    </row>
    <row r="24" spans="1:15" x14ac:dyDescent="0.25">
      <c r="A24" s="14" t="str">
        <f t="shared" si="2"/>
        <v>Amber</v>
      </c>
      <c r="B24" s="15" t="s">
        <v>5</v>
      </c>
      <c r="C24" s="16">
        <v>2</v>
      </c>
      <c r="D24" s="17">
        <v>0.50208333333333333</v>
      </c>
      <c r="E24" s="18">
        <v>30.99</v>
      </c>
      <c r="F24" s="16">
        <v>40</v>
      </c>
      <c r="G24" s="16">
        <v>41</v>
      </c>
      <c r="H24" s="16">
        <v>641653</v>
      </c>
      <c r="I24" s="28" t="e">
        <f t="shared" si="0"/>
        <v>#N/A</v>
      </c>
      <c r="J24" s="28">
        <f t="shared" si="1"/>
        <v>2</v>
      </c>
      <c r="K24" s="26"/>
      <c r="L24" s="26"/>
      <c r="M24" s="26"/>
      <c r="N24" s="26"/>
      <c r="O24" s="31"/>
    </row>
    <row r="25" spans="1:15" x14ac:dyDescent="0.25">
      <c r="A25" s="14" t="str">
        <f t="shared" si="2"/>
        <v>Amber</v>
      </c>
      <c r="B25" s="19" t="s">
        <v>11</v>
      </c>
      <c r="C25" s="16">
        <v>53</v>
      </c>
      <c r="D25" s="17">
        <v>0.50208333333333333</v>
      </c>
      <c r="E25" s="18">
        <v>31.37</v>
      </c>
      <c r="F25" s="16" t="s">
        <v>18</v>
      </c>
      <c r="G25" s="16">
        <v>63</v>
      </c>
      <c r="H25" s="16">
        <v>641655</v>
      </c>
      <c r="I25" s="28" t="e">
        <f t="shared" si="0"/>
        <v>#N/A</v>
      </c>
      <c r="J25" s="28">
        <f t="shared" si="1"/>
        <v>53</v>
      </c>
      <c r="K25" s="26"/>
      <c r="L25" s="26"/>
      <c r="M25" s="26"/>
      <c r="N25" s="26"/>
      <c r="O25" s="31"/>
    </row>
    <row r="26" spans="1:15" x14ac:dyDescent="0.25">
      <c r="A26" s="14" t="str">
        <f t="shared" si="2"/>
        <v>Amber</v>
      </c>
      <c r="B26" s="19" t="s">
        <v>11</v>
      </c>
      <c r="C26" s="16">
        <v>69</v>
      </c>
      <c r="D26" s="17">
        <v>0.50208333333333333</v>
      </c>
      <c r="E26" s="18">
        <v>31.66</v>
      </c>
      <c r="F26" s="16" t="s">
        <v>18</v>
      </c>
      <c r="G26" s="16">
        <v>43</v>
      </c>
      <c r="H26" s="16">
        <v>641655</v>
      </c>
      <c r="I26" s="28" t="e">
        <f t="shared" si="0"/>
        <v>#N/A</v>
      </c>
      <c r="J26" s="28">
        <f t="shared" si="1"/>
        <v>69</v>
      </c>
      <c r="K26" s="26"/>
      <c r="L26" s="26"/>
      <c r="M26" s="26"/>
      <c r="N26" s="26"/>
      <c r="O26" s="31"/>
    </row>
    <row r="27" spans="1:15" x14ac:dyDescent="0.25">
      <c r="A27" s="14" t="str">
        <f t="shared" si="2"/>
        <v>Amber</v>
      </c>
      <c r="B27" s="15" t="s">
        <v>7</v>
      </c>
      <c r="C27" s="16">
        <v>78</v>
      </c>
      <c r="D27" s="17">
        <v>0.50416666666666665</v>
      </c>
      <c r="E27" s="18">
        <v>34.68</v>
      </c>
      <c r="F27" s="16">
        <v>66</v>
      </c>
      <c r="G27" s="16">
        <v>50</v>
      </c>
      <c r="H27" s="16">
        <v>641302</v>
      </c>
      <c r="I27" s="28" t="e">
        <f t="shared" si="0"/>
        <v>#N/A</v>
      </c>
      <c r="J27" s="28">
        <f t="shared" si="1"/>
        <v>78</v>
      </c>
      <c r="K27" s="26"/>
      <c r="L27" s="26"/>
      <c r="M27" s="26"/>
      <c r="N27" s="26"/>
      <c r="O27" s="31"/>
    </row>
    <row r="28" spans="1:15" x14ac:dyDescent="0.25">
      <c r="A28" s="14" t="str">
        <f t="shared" si="2"/>
        <v>Amber</v>
      </c>
      <c r="B28" s="19" t="s">
        <v>12</v>
      </c>
      <c r="C28" s="16">
        <v>55</v>
      </c>
      <c r="D28" s="17">
        <v>0.50624999999999998</v>
      </c>
      <c r="E28" s="18">
        <v>37.43</v>
      </c>
      <c r="F28" s="16" t="s">
        <v>18</v>
      </c>
      <c r="G28" s="16">
        <v>61</v>
      </c>
      <c r="H28" s="16">
        <v>638459</v>
      </c>
      <c r="I28" s="28" t="e">
        <f t="shared" si="0"/>
        <v>#N/A</v>
      </c>
      <c r="J28" s="28">
        <f t="shared" si="1"/>
        <v>55</v>
      </c>
      <c r="K28" s="26"/>
      <c r="L28" s="26"/>
      <c r="M28" s="26"/>
      <c r="N28" s="26"/>
      <c r="O28" s="31"/>
    </row>
    <row r="29" spans="1:15" x14ac:dyDescent="0.25">
      <c r="A29" s="14" t="str">
        <f t="shared" si="2"/>
        <v>Amber</v>
      </c>
      <c r="B29" s="19" t="s">
        <v>11</v>
      </c>
      <c r="C29" s="16">
        <v>54</v>
      </c>
      <c r="D29" s="17">
        <v>0.50763888888888886</v>
      </c>
      <c r="E29" s="18">
        <v>39</v>
      </c>
      <c r="F29" s="16" t="s">
        <v>18</v>
      </c>
      <c r="G29" s="16">
        <v>34</v>
      </c>
      <c r="H29" s="16">
        <v>638459</v>
      </c>
      <c r="I29" s="28" t="e">
        <f t="shared" si="0"/>
        <v>#N/A</v>
      </c>
      <c r="J29" s="28">
        <f t="shared" si="1"/>
        <v>54</v>
      </c>
      <c r="K29" s="26"/>
      <c r="L29" s="26"/>
      <c r="M29" s="26"/>
      <c r="N29" s="26"/>
      <c r="O29" s="31"/>
    </row>
    <row r="30" spans="1:15" x14ac:dyDescent="0.25">
      <c r="A30" s="14" t="str">
        <f t="shared" si="2"/>
        <v>Amber</v>
      </c>
      <c r="B30" s="19" t="s">
        <v>10</v>
      </c>
      <c r="C30" s="16">
        <v>65</v>
      </c>
      <c r="D30" s="17">
        <v>0.5083333333333333</v>
      </c>
      <c r="E30" s="18">
        <v>39.44</v>
      </c>
      <c r="F30" s="16" t="s">
        <v>18</v>
      </c>
      <c r="G30" s="16">
        <v>22</v>
      </c>
      <c r="H30" s="16">
        <v>638459</v>
      </c>
      <c r="I30" s="28" t="e">
        <f t="shared" si="0"/>
        <v>#N/A</v>
      </c>
      <c r="J30" s="28">
        <f t="shared" si="1"/>
        <v>65</v>
      </c>
      <c r="K30" s="26"/>
      <c r="L30" s="26"/>
      <c r="M30" s="26"/>
      <c r="N30" s="26"/>
      <c r="O30" s="31"/>
    </row>
    <row r="31" spans="1:15" x14ac:dyDescent="0.25">
      <c r="A31" s="14" t="str">
        <f t="shared" si="2"/>
        <v>Amber</v>
      </c>
      <c r="B31" s="19" t="s">
        <v>10</v>
      </c>
      <c r="C31" s="16">
        <v>53</v>
      </c>
      <c r="D31" s="17">
        <v>0.50902777777777775</v>
      </c>
      <c r="E31" s="18">
        <v>39.520000000000003</v>
      </c>
      <c r="F31" s="16" t="s">
        <v>18</v>
      </c>
      <c r="G31" s="16">
        <v>20</v>
      </c>
      <c r="H31" s="16">
        <v>638459</v>
      </c>
      <c r="I31" s="28" t="e">
        <f t="shared" si="0"/>
        <v>#N/A</v>
      </c>
      <c r="J31" s="28">
        <f t="shared" si="1"/>
        <v>53</v>
      </c>
      <c r="K31" s="26"/>
      <c r="L31" s="26"/>
      <c r="M31" s="26"/>
      <c r="N31" s="26"/>
      <c r="O31" s="31"/>
    </row>
    <row r="32" spans="1:15" x14ac:dyDescent="0.25">
      <c r="A32" s="14" t="str">
        <f t="shared" si="2"/>
        <v>Amber</v>
      </c>
      <c r="B32" s="19" t="s">
        <v>9</v>
      </c>
      <c r="C32" s="16">
        <v>51</v>
      </c>
      <c r="D32" s="17">
        <v>0.51250000000000007</v>
      </c>
      <c r="E32" s="18">
        <v>40.53</v>
      </c>
      <c r="F32" s="16" t="s">
        <v>18</v>
      </c>
      <c r="G32" s="16">
        <v>31</v>
      </c>
      <c r="H32" s="16">
        <v>638459</v>
      </c>
      <c r="I32" s="28" t="e">
        <f t="shared" si="0"/>
        <v>#N/A</v>
      </c>
      <c r="J32" s="28">
        <f t="shared" si="1"/>
        <v>51</v>
      </c>
      <c r="K32" s="26"/>
      <c r="L32" s="26"/>
      <c r="M32" s="26"/>
      <c r="N32" s="26"/>
      <c r="O32" s="31"/>
    </row>
    <row r="33" spans="1:15" x14ac:dyDescent="0.25">
      <c r="A33" s="14" t="str">
        <f t="shared" si="2"/>
        <v>Amber</v>
      </c>
      <c r="B33" s="15" t="s">
        <v>5</v>
      </c>
      <c r="C33" s="16">
        <v>41</v>
      </c>
      <c r="D33" s="17">
        <v>0.51250000000000007</v>
      </c>
      <c r="E33" s="18">
        <v>40.56</v>
      </c>
      <c r="F33" s="16">
        <v>30</v>
      </c>
      <c r="G33" s="16">
        <v>40</v>
      </c>
      <c r="H33" s="16">
        <v>638459</v>
      </c>
      <c r="I33" s="28" t="e">
        <f t="shared" si="0"/>
        <v>#N/A</v>
      </c>
      <c r="J33" s="28">
        <f t="shared" si="1"/>
        <v>41</v>
      </c>
      <c r="K33" s="26"/>
      <c r="L33" s="26"/>
      <c r="M33" s="26"/>
      <c r="N33" s="26"/>
      <c r="O33" s="31"/>
    </row>
    <row r="34" spans="1:15" x14ac:dyDescent="0.25">
      <c r="A34" s="14" t="str">
        <f t="shared" si="2"/>
        <v>Amber</v>
      </c>
      <c r="B34" s="19" t="s">
        <v>10</v>
      </c>
      <c r="C34" s="16">
        <v>81</v>
      </c>
      <c r="D34" s="17">
        <v>0.51250000000000007</v>
      </c>
      <c r="E34" s="18">
        <v>40.56</v>
      </c>
      <c r="F34" s="16" t="s">
        <v>18</v>
      </c>
      <c r="G34" s="16">
        <v>40</v>
      </c>
      <c r="H34" s="16">
        <v>638459</v>
      </c>
      <c r="I34" s="28" t="e">
        <f t="shared" ref="I34:I65" si="3">IF(C34&gt;$M$1,C34,NA())</f>
        <v>#N/A</v>
      </c>
      <c r="J34" s="28">
        <f t="shared" ref="J34:J65" si="4">IF(C34&lt;=$M$1,C34,NA())</f>
        <v>81</v>
      </c>
      <c r="K34" s="26"/>
      <c r="L34" s="26"/>
      <c r="M34" s="26"/>
      <c r="N34" s="26"/>
      <c r="O34" s="31"/>
    </row>
    <row r="35" spans="1:15" x14ac:dyDescent="0.25">
      <c r="A35" s="14" t="str">
        <f t="shared" si="2"/>
        <v>Amber</v>
      </c>
      <c r="B35" s="19" t="s">
        <v>9</v>
      </c>
      <c r="C35" s="16">
        <v>68</v>
      </c>
      <c r="D35" s="17">
        <v>0.51388888888888895</v>
      </c>
      <c r="E35" s="18">
        <v>42.01</v>
      </c>
      <c r="F35" s="16" t="s">
        <v>18</v>
      </c>
      <c r="G35" s="16">
        <v>42</v>
      </c>
      <c r="H35" s="16">
        <v>638459</v>
      </c>
      <c r="I35" s="28" t="e">
        <f t="shared" si="3"/>
        <v>#N/A</v>
      </c>
      <c r="J35" s="28">
        <f t="shared" si="4"/>
        <v>68</v>
      </c>
      <c r="K35" s="26"/>
      <c r="L35" s="26"/>
      <c r="M35" s="26"/>
      <c r="N35" s="26"/>
      <c r="O35" s="31"/>
    </row>
    <row r="36" spans="1:15" x14ac:dyDescent="0.25">
      <c r="A36" s="14" t="str">
        <f t="shared" si="2"/>
        <v>Red</v>
      </c>
      <c r="B36" s="15" t="s">
        <v>5</v>
      </c>
      <c r="C36" s="16">
        <v>100</v>
      </c>
      <c r="D36" s="17">
        <v>0.51388888888888895</v>
      </c>
      <c r="E36" s="18">
        <v>42.06</v>
      </c>
      <c r="F36" s="16">
        <v>30</v>
      </c>
      <c r="G36" s="16">
        <v>42</v>
      </c>
      <c r="H36" s="16">
        <v>638459</v>
      </c>
      <c r="I36" s="28">
        <f t="shared" si="3"/>
        <v>100</v>
      </c>
      <c r="J36" s="28" t="e">
        <f t="shared" si="4"/>
        <v>#N/A</v>
      </c>
      <c r="K36" s="26"/>
      <c r="L36" s="26"/>
      <c r="M36" s="26"/>
      <c r="N36" s="26"/>
      <c r="O36" s="31"/>
    </row>
    <row r="37" spans="1:15" x14ac:dyDescent="0.25">
      <c r="A37" s="14" t="str">
        <f t="shared" si="2"/>
        <v>Amber</v>
      </c>
      <c r="B37" s="15" t="s">
        <v>7</v>
      </c>
      <c r="C37" s="16">
        <v>34</v>
      </c>
      <c r="D37" s="17">
        <v>0.51388888888888895</v>
      </c>
      <c r="E37" s="18">
        <v>42.08</v>
      </c>
      <c r="F37" s="16">
        <v>42</v>
      </c>
      <c r="G37" s="16">
        <v>30</v>
      </c>
      <c r="H37" s="16">
        <v>638459</v>
      </c>
      <c r="I37" s="28" t="e">
        <f t="shared" si="3"/>
        <v>#N/A</v>
      </c>
      <c r="J37" s="28">
        <f t="shared" si="4"/>
        <v>34</v>
      </c>
      <c r="K37" s="26"/>
      <c r="L37" s="26"/>
      <c r="M37" s="26"/>
      <c r="N37" s="26"/>
      <c r="O37" s="31"/>
    </row>
    <row r="38" spans="1:15" x14ac:dyDescent="0.25">
      <c r="A38" s="14" t="str">
        <f t="shared" si="2"/>
        <v>Amber</v>
      </c>
      <c r="B38" s="15" t="s">
        <v>7</v>
      </c>
      <c r="C38" s="16">
        <v>56</v>
      </c>
      <c r="D38" s="17">
        <v>0.51458333333333328</v>
      </c>
      <c r="E38" s="18">
        <v>43</v>
      </c>
      <c r="F38" s="16">
        <v>30</v>
      </c>
      <c r="G38" s="16">
        <v>10</v>
      </c>
      <c r="H38" s="16">
        <v>638459</v>
      </c>
      <c r="I38" s="28" t="e">
        <f t="shared" si="3"/>
        <v>#N/A</v>
      </c>
      <c r="J38" s="28">
        <f t="shared" si="4"/>
        <v>56</v>
      </c>
      <c r="K38" s="26"/>
      <c r="L38" s="26"/>
      <c r="M38" s="26"/>
      <c r="N38" s="26"/>
      <c r="O38" s="31"/>
    </row>
    <row r="39" spans="1:15" x14ac:dyDescent="0.25">
      <c r="A39" s="14" t="str">
        <f t="shared" si="2"/>
        <v>Amber</v>
      </c>
      <c r="B39" s="15" t="s">
        <v>7</v>
      </c>
      <c r="C39" s="16">
        <v>82</v>
      </c>
      <c r="D39" s="17">
        <v>0.51527777777777783</v>
      </c>
      <c r="E39" s="18">
        <v>43.19</v>
      </c>
      <c r="F39" s="16">
        <v>29</v>
      </c>
      <c r="G39" s="16">
        <v>16</v>
      </c>
      <c r="H39" s="16">
        <v>638459</v>
      </c>
      <c r="I39" s="28" t="e">
        <f t="shared" si="3"/>
        <v>#N/A</v>
      </c>
      <c r="J39" s="28">
        <f t="shared" si="4"/>
        <v>82</v>
      </c>
      <c r="K39" s="26"/>
      <c r="L39" s="26"/>
      <c r="M39" s="26"/>
      <c r="N39" s="26"/>
      <c r="O39" s="31"/>
    </row>
    <row r="40" spans="1:15" x14ac:dyDescent="0.25">
      <c r="A40" s="14" t="str">
        <f t="shared" si="2"/>
        <v>Amber</v>
      </c>
      <c r="B40" s="15" t="s">
        <v>7</v>
      </c>
      <c r="C40" s="16">
        <v>63</v>
      </c>
      <c r="D40" s="17">
        <v>0.51527777777777783</v>
      </c>
      <c r="E40" s="18">
        <v>43.49</v>
      </c>
      <c r="F40" s="16">
        <v>53</v>
      </c>
      <c r="G40" s="16">
        <v>35</v>
      </c>
      <c r="H40" s="16">
        <v>638459</v>
      </c>
      <c r="I40" s="28" t="e">
        <f t="shared" si="3"/>
        <v>#N/A</v>
      </c>
      <c r="J40" s="28">
        <f t="shared" si="4"/>
        <v>63</v>
      </c>
      <c r="K40" s="26"/>
      <c r="L40" s="26"/>
      <c r="M40" s="26"/>
      <c r="N40" s="26"/>
      <c r="O40" s="31"/>
    </row>
    <row r="41" spans="1:15" x14ac:dyDescent="0.25">
      <c r="A41" s="14" t="str">
        <f t="shared" si="2"/>
        <v>Amber</v>
      </c>
      <c r="B41" s="19" t="s">
        <v>9</v>
      </c>
      <c r="C41" s="16">
        <v>56</v>
      </c>
      <c r="D41" s="17">
        <v>0.51527777777777783</v>
      </c>
      <c r="E41" s="18">
        <v>43.57</v>
      </c>
      <c r="F41" s="16" t="s">
        <v>18</v>
      </c>
      <c r="G41" s="16">
        <v>44</v>
      </c>
      <c r="H41" s="16">
        <v>638459</v>
      </c>
      <c r="I41" s="28" t="e">
        <f t="shared" si="3"/>
        <v>#N/A</v>
      </c>
      <c r="J41" s="28">
        <f t="shared" si="4"/>
        <v>56</v>
      </c>
      <c r="K41" s="26"/>
      <c r="L41" s="26"/>
      <c r="M41" s="26"/>
      <c r="N41" s="26"/>
      <c r="O41" s="31"/>
    </row>
    <row r="42" spans="1:15" x14ac:dyDescent="0.25">
      <c r="A42" s="14" t="str">
        <f t="shared" si="2"/>
        <v>Amber</v>
      </c>
      <c r="B42" s="19" t="s">
        <v>9</v>
      </c>
      <c r="C42" s="16">
        <v>66</v>
      </c>
      <c r="D42" s="17">
        <v>0.51597222222222217</v>
      </c>
      <c r="E42" s="18">
        <v>43.71</v>
      </c>
      <c r="F42" s="16" t="s">
        <v>18</v>
      </c>
      <c r="G42" s="16">
        <v>42</v>
      </c>
      <c r="H42" s="16">
        <v>638459</v>
      </c>
      <c r="I42" s="28" t="e">
        <f t="shared" si="3"/>
        <v>#N/A</v>
      </c>
      <c r="J42" s="28">
        <f t="shared" si="4"/>
        <v>66</v>
      </c>
      <c r="K42" s="26"/>
      <c r="L42" s="26"/>
      <c r="M42" s="26"/>
      <c r="N42" s="26"/>
      <c r="O42" s="31"/>
    </row>
    <row r="43" spans="1:15" x14ac:dyDescent="0.25">
      <c r="A43" s="14" t="str">
        <f t="shared" si="2"/>
        <v>Amber</v>
      </c>
      <c r="B43" s="15" t="s">
        <v>5</v>
      </c>
      <c r="C43" s="16">
        <v>82</v>
      </c>
      <c r="D43" s="17">
        <v>0.51597222222222217</v>
      </c>
      <c r="E43" s="18">
        <v>44.02</v>
      </c>
      <c r="F43" s="16">
        <v>50</v>
      </c>
      <c r="G43" s="16">
        <v>55</v>
      </c>
      <c r="H43" s="16">
        <v>638459</v>
      </c>
      <c r="I43" s="28" t="e">
        <f t="shared" si="3"/>
        <v>#N/A</v>
      </c>
      <c r="J43" s="28">
        <f t="shared" si="4"/>
        <v>82</v>
      </c>
      <c r="K43" s="26"/>
      <c r="L43" s="26"/>
      <c r="M43" s="26"/>
      <c r="N43" s="26"/>
      <c r="O43" s="31"/>
    </row>
    <row r="44" spans="1:15" x14ac:dyDescent="0.25">
      <c r="A44" s="14" t="str">
        <f t="shared" si="2"/>
        <v>Amber</v>
      </c>
      <c r="B44" s="19" t="s">
        <v>9</v>
      </c>
      <c r="C44" s="16">
        <v>76</v>
      </c>
      <c r="D44" s="17">
        <v>0.51597222222222217</v>
      </c>
      <c r="E44" s="18">
        <v>44</v>
      </c>
      <c r="F44" s="16" t="s">
        <v>18</v>
      </c>
      <c r="G44" s="16">
        <v>57</v>
      </c>
      <c r="H44" s="16">
        <v>638459</v>
      </c>
      <c r="I44" s="28" t="e">
        <f t="shared" si="3"/>
        <v>#N/A</v>
      </c>
      <c r="J44" s="28">
        <f t="shared" si="4"/>
        <v>76</v>
      </c>
      <c r="K44" s="26"/>
      <c r="L44" s="26"/>
      <c r="M44" s="26"/>
      <c r="N44" s="26"/>
      <c r="O44" s="31"/>
    </row>
    <row r="45" spans="1:15" x14ac:dyDescent="0.25">
      <c r="A45" s="14" t="str">
        <f t="shared" si="2"/>
        <v>Amber</v>
      </c>
      <c r="B45" s="15" t="s">
        <v>7</v>
      </c>
      <c r="C45" s="16">
        <v>90</v>
      </c>
      <c r="D45" s="17">
        <v>0.51597222222222217</v>
      </c>
      <c r="E45" s="18">
        <v>44.15</v>
      </c>
      <c r="F45" s="16">
        <v>53</v>
      </c>
      <c r="G45" s="16">
        <v>40</v>
      </c>
      <c r="H45" s="16">
        <v>638459</v>
      </c>
      <c r="I45" s="28" t="e">
        <f t="shared" si="3"/>
        <v>#N/A</v>
      </c>
      <c r="J45" s="28">
        <f t="shared" si="4"/>
        <v>90</v>
      </c>
      <c r="K45" s="26"/>
      <c r="L45" s="26"/>
      <c r="M45" s="26"/>
      <c r="N45" s="26"/>
      <c r="O45" s="31"/>
    </row>
    <row r="46" spans="1:15" x14ac:dyDescent="0.25">
      <c r="A46" s="14" t="str">
        <f t="shared" si="2"/>
        <v>Red</v>
      </c>
      <c r="B46" s="19" t="s">
        <v>9</v>
      </c>
      <c r="C46" s="16">
        <v>93</v>
      </c>
      <c r="D46" s="17">
        <v>0.51597222222222217</v>
      </c>
      <c r="E46" s="18">
        <v>44.17</v>
      </c>
      <c r="F46" s="16" t="s">
        <v>18</v>
      </c>
      <c r="G46" s="16">
        <v>38</v>
      </c>
      <c r="H46" s="16">
        <v>638459</v>
      </c>
      <c r="I46" s="28">
        <f t="shared" si="3"/>
        <v>93</v>
      </c>
      <c r="J46" s="28" t="e">
        <f t="shared" si="4"/>
        <v>#N/A</v>
      </c>
      <c r="K46" s="26"/>
      <c r="L46" s="26"/>
      <c r="M46" s="26"/>
      <c r="N46" s="26"/>
      <c r="O46" s="31"/>
    </row>
    <row r="47" spans="1:15" x14ac:dyDescent="0.25">
      <c r="A47" s="14" t="str">
        <f t="shared" si="2"/>
        <v>Amber</v>
      </c>
      <c r="B47" s="15" t="s">
        <v>7</v>
      </c>
      <c r="C47" s="16">
        <v>82</v>
      </c>
      <c r="D47" s="17">
        <v>0.51666666666666672</v>
      </c>
      <c r="E47" s="18">
        <v>44.59</v>
      </c>
      <c r="F47" s="16">
        <v>33</v>
      </c>
      <c r="G47" s="16">
        <v>14</v>
      </c>
      <c r="H47" s="16">
        <v>638459</v>
      </c>
      <c r="I47" s="28" t="e">
        <f t="shared" si="3"/>
        <v>#N/A</v>
      </c>
      <c r="J47" s="28">
        <f t="shared" si="4"/>
        <v>82</v>
      </c>
      <c r="K47" s="26"/>
      <c r="L47" s="26"/>
      <c r="M47" s="26"/>
      <c r="N47" s="26"/>
      <c r="O47" s="31"/>
    </row>
    <row r="48" spans="1:15" x14ac:dyDescent="0.25">
      <c r="A48" s="14" t="str">
        <f t="shared" si="2"/>
        <v>Amber</v>
      </c>
      <c r="B48" s="19" t="s">
        <v>9</v>
      </c>
      <c r="C48" s="16">
        <v>56</v>
      </c>
      <c r="D48" s="17">
        <v>0.51874999999999993</v>
      </c>
      <c r="E48" s="18">
        <v>45.25</v>
      </c>
      <c r="F48" s="16" t="s">
        <v>18</v>
      </c>
      <c r="G48" s="16">
        <v>52</v>
      </c>
      <c r="H48" s="16">
        <v>638459</v>
      </c>
      <c r="I48" s="28" t="e">
        <f t="shared" si="3"/>
        <v>#N/A</v>
      </c>
      <c r="J48" s="28">
        <f t="shared" si="4"/>
        <v>56</v>
      </c>
      <c r="K48" s="26"/>
      <c r="L48" s="26"/>
      <c r="M48" s="26"/>
      <c r="N48" s="26"/>
      <c r="O48" s="31"/>
    </row>
    <row r="49" spans="1:15" x14ac:dyDescent="0.25">
      <c r="A49" s="14" t="str">
        <f t="shared" si="2"/>
        <v>Amber</v>
      </c>
      <c r="B49" s="15" t="s">
        <v>7</v>
      </c>
      <c r="C49" s="16">
        <v>34</v>
      </c>
      <c r="D49" s="17">
        <v>0.51944444444444449</v>
      </c>
      <c r="E49" s="18">
        <v>45.97</v>
      </c>
      <c r="F49" s="16">
        <v>59</v>
      </c>
      <c r="G49" s="16">
        <v>35</v>
      </c>
      <c r="H49" s="16">
        <v>638459</v>
      </c>
      <c r="I49" s="28" t="e">
        <f t="shared" si="3"/>
        <v>#N/A</v>
      </c>
      <c r="J49" s="28">
        <f t="shared" si="4"/>
        <v>34</v>
      </c>
      <c r="K49" s="26"/>
      <c r="L49" s="26"/>
      <c r="M49" s="26"/>
      <c r="N49" s="26"/>
      <c r="O49" s="31"/>
    </row>
    <row r="50" spans="1:15" x14ac:dyDescent="0.25">
      <c r="A50" s="14" t="str">
        <f t="shared" si="2"/>
        <v>Amber</v>
      </c>
      <c r="B50" s="15" t="s">
        <v>7</v>
      </c>
      <c r="C50" s="16">
        <v>43</v>
      </c>
      <c r="D50" s="17">
        <v>0.52083333333333337</v>
      </c>
      <c r="E50" s="18">
        <v>46.42</v>
      </c>
      <c r="F50" s="16">
        <v>38</v>
      </c>
      <c r="G50" s="16">
        <v>26</v>
      </c>
      <c r="H50" s="16">
        <v>638459</v>
      </c>
      <c r="I50" s="28" t="e">
        <f t="shared" si="3"/>
        <v>#N/A</v>
      </c>
      <c r="J50" s="28">
        <f t="shared" si="4"/>
        <v>43</v>
      </c>
      <c r="K50" s="26"/>
      <c r="L50" s="26"/>
      <c r="M50" s="26"/>
      <c r="N50" s="26"/>
      <c r="O50" s="31"/>
    </row>
    <row r="51" spans="1:15" x14ac:dyDescent="0.25">
      <c r="A51" s="14" t="str">
        <f t="shared" si="2"/>
        <v>Amber</v>
      </c>
      <c r="B51" s="15" t="s">
        <v>5</v>
      </c>
      <c r="C51" s="16">
        <v>21</v>
      </c>
      <c r="D51" s="17">
        <v>0.52152777777777781</v>
      </c>
      <c r="E51" s="18">
        <v>46.93</v>
      </c>
      <c r="F51" s="16">
        <v>50</v>
      </c>
      <c r="G51" s="16">
        <v>64</v>
      </c>
      <c r="H51" s="16">
        <v>638459</v>
      </c>
      <c r="I51" s="28" t="e">
        <f t="shared" si="3"/>
        <v>#N/A</v>
      </c>
      <c r="J51" s="28">
        <f t="shared" si="4"/>
        <v>21</v>
      </c>
      <c r="K51" s="26"/>
      <c r="L51" s="26"/>
      <c r="M51" s="26"/>
      <c r="N51" s="26"/>
      <c r="O51" s="31"/>
    </row>
    <row r="52" spans="1:15" x14ac:dyDescent="0.25">
      <c r="A52" s="14" t="str">
        <f t="shared" si="2"/>
        <v>Amber</v>
      </c>
      <c r="B52" s="19" t="s">
        <v>9</v>
      </c>
      <c r="C52" s="16">
        <v>57</v>
      </c>
      <c r="D52" s="17">
        <v>0.52361111111111114</v>
      </c>
      <c r="E52" s="18">
        <v>48.98</v>
      </c>
      <c r="F52" s="16" t="s">
        <v>18</v>
      </c>
      <c r="G52" s="16">
        <v>25</v>
      </c>
      <c r="H52" s="16">
        <v>638459</v>
      </c>
      <c r="I52" s="28" t="e">
        <f t="shared" si="3"/>
        <v>#N/A</v>
      </c>
      <c r="J52" s="28">
        <f t="shared" si="4"/>
        <v>57</v>
      </c>
      <c r="K52" s="26"/>
      <c r="L52" s="26"/>
      <c r="M52" s="26"/>
      <c r="N52" s="26"/>
      <c r="O52" s="31"/>
    </row>
    <row r="53" spans="1:15" x14ac:dyDescent="0.25">
      <c r="A53" s="14" t="str">
        <f t="shared" si="2"/>
        <v>Amber</v>
      </c>
      <c r="B53" s="15" t="s">
        <v>5</v>
      </c>
      <c r="C53" s="16">
        <v>42</v>
      </c>
      <c r="D53" s="17">
        <v>0.52361111111111114</v>
      </c>
      <c r="E53" s="18">
        <v>49.1</v>
      </c>
      <c r="F53" s="16">
        <v>30</v>
      </c>
      <c r="G53" s="16">
        <v>32</v>
      </c>
      <c r="H53" s="16">
        <v>638459</v>
      </c>
      <c r="I53" s="28" t="e">
        <f t="shared" si="3"/>
        <v>#N/A</v>
      </c>
      <c r="J53" s="28">
        <f t="shared" si="4"/>
        <v>42</v>
      </c>
      <c r="K53" s="26"/>
      <c r="L53" s="26"/>
      <c r="M53" s="26"/>
      <c r="N53" s="26"/>
      <c r="O53" s="31"/>
    </row>
    <row r="54" spans="1:15" x14ac:dyDescent="0.25">
      <c r="A54" s="14" t="str">
        <f t="shared" si="2"/>
        <v>Amber</v>
      </c>
      <c r="B54" s="15" t="s">
        <v>5</v>
      </c>
      <c r="C54" s="16">
        <v>2</v>
      </c>
      <c r="D54" s="17">
        <v>0.52430555555555558</v>
      </c>
      <c r="E54" s="18">
        <v>49.5</v>
      </c>
      <c r="F54" s="16">
        <v>30</v>
      </c>
      <c r="G54" s="16">
        <v>33</v>
      </c>
      <c r="H54" s="16">
        <v>638459</v>
      </c>
      <c r="I54" s="28" t="e">
        <f t="shared" si="3"/>
        <v>#N/A</v>
      </c>
      <c r="J54" s="28">
        <f t="shared" si="4"/>
        <v>2</v>
      </c>
      <c r="K54" s="26"/>
      <c r="L54" s="26"/>
      <c r="M54" s="26"/>
      <c r="N54" s="26"/>
      <c r="O54" s="31"/>
    </row>
    <row r="55" spans="1:15" x14ac:dyDescent="0.25">
      <c r="A55" s="14" t="str">
        <f t="shared" si="2"/>
        <v>Amber</v>
      </c>
      <c r="B55" s="19" t="s">
        <v>9</v>
      </c>
      <c r="C55" s="16">
        <v>62</v>
      </c>
      <c r="D55" s="17">
        <v>0.52569444444444446</v>
      </c>
      <c r="E55" s="18">
        <v>50.14</v>
      </c>
      <c r="F55" s="16" t="s">
        <v>18</v>
      </c>
      <c r="G55" s="16">
        <v>38</v>
      </c>
      <c r="H55" s="16">
        <v>638459</v>
      </c>
      <c r="I55" s="28" t="e">
        <f t="shared" si="3"/>
        <v>#N/A</v>
      </c>
      <c r="J55" s="28">
        <f t="shared" si="4"/>
        <v>62</v>
      </c>
      <c r="K55" s="26"/>
      <c r="L55" s="26"/>
      <c r="M55" s="26"/>
      <c r="N55" s="26"/>
      <c r="O55" s="31"/>
    </row>
    <row r="56" spans="1:15" x14ac:dyDescent="0.25">
      <c r="A56" s="14" t="str">
        <f t="shared" si="2"/>
        <v>Amber</v>
      </c>
      <c r="B56" s="15" t="s">
        <v>5</v>
      </c>
      <c r="C56" s="16">
        <v>56</v>
      </c>
      <c r="D56" s="17">
        <v>0.52569444444444446</v>
      </c>
      <c r="E56" s="18">
        <v>50.7</v>
      </c>
      <c r="F56" s="16">
        <v>30</v>
      </c>
      <c r="G56" s="16">
        <v>45</v>
      </c>
      <c r="H56" s="16">
        <v>638459</v>
      </c>
      <c r="I56" s="28" t="e">
        <f t="shared" si="3"/>
        <v>#N/A</v>
      </c>
      <c r="J56" s="28">
        <f t="shared" si="4"/>
        <v>56</v>
      </c>
      <c r="K56" s="26"/>
      <c r="L56" s="26"/>
      <c r="M56" s="26"/>
      <c r="N56" s="26"/>
      <c r="O56" s="31"/>
    </row>
    <row r="57" spans="1:15" x14ac:dyDescent="0.25">
      <c r="A57" s="14" t="str">
        <f t="shared" si="2"/>
        <v>Amber</v>
      </c>
      <c r="B57" s="19" t="s">
        <v>9</v>
      </c>
      <c r="C57" s="16">
        <v>60</v>
      </c>
      <c r="D57" s="17">
        <v>0.52569444444444446</v>
      </c>
      <c r="E57" s="18">
        <v>50.72</v>
      </c>
      <c r="F57" s="16" t="s">
        <v>18</v>
      </c>
      <c r="G57" s="16">
        <v>47</v>
      </c>
      <c r="H57" s="16">
        <v>638459</v>
      </c>
      <c r="I57" s="28" t="e">
        <f t="shared" si="3"/>
        <v>#N/A</v>
      </c>
      <c r="J57" s="28">
        <f t="shared" si="4"/>
        <v>60</v>
      </c>
      <c r="K57" s="26"/>
      <c r="L57" s="26"/>
      <c r="M57" s="26"/>
      <c r="N57" s="26"/>
      <c r="O57" s="31"/>
    </row>
    <row r="58" spans="1:15" x14ac:dyDescent="0.25">
      <c r="A58" s="14" t="str">
        <f t="shared" si="2"/>
        <v>Amber</v>
      </c>
      <c r="B58" s="15" t="s">
        <v>7</v>
      </c>
      <c r="C58" s="16">
        <v>69</v>
      </c>
      <c r="D58" s="17">
        <v>0.52638888888888891</v>
      </c>
      <c r="E58" s="18">
        <v>50.81</v>
      </c>
      <c r="F58" s="16">
        <v>24</v>
      </c>
      <c r="G58" s="16">
        <v>11</v>
      </c>
      <c r="H58" s="16">
        <v>638459</v>
      </c>
      <c r="I58" s="28" t="e">
        <f t="shared" si="3"/>
        <v>#N/A</v>
      </c>
      <c r="J58" s="28">
        <f t="shared" si="4"/>
        <v>69</v>
      </c>
      <c r="K58" s="26"/>
      <c r="L58" s="26"/>
      <c r="M58" s="26"/>
      <c r="N58" s="26"/>
      <c r="O58" s="31"/>
    </row>
    <row r="59" spans="1:15" x14ac:dyDescent="0.25">
      <c r="A59" s="14" t="str">
        <f t="shared" si="2"/>
        <v>Amber</v>
      </c>
      <c r="B59" s="19" t="s">
        <v>9</v>
      </c>
      <c r="C59" s="16">
        <v>62</v>
      </c>
      <c r="D59" s="17">
        <v>0.52638888888888891</v>
      </c>
      <c r="E59" s="18">
        <v>50.92</v>
      </c>
      <c r="F59" s="16" t="s">
        <v>18</v>
      </c>
      <c r="G59" s="16">
        <v>46</v>
      </c>
      <c r="H59" s="16">
        <v>638459</v>
      </c>
      <c r="I59" s="28" t="e">
        <f t="shared" si="3"/>
        <v>#N/A</v>
      </c>
      <c r="J59" s="28">
        <f t="shared" si="4"/>
        <v>62</v>
      </c>
      <c r="K59" s="26"/>
      <c r="L59" s="26"/>
      <c r="M59" s="26"/>
      <c r="N59" s="26"/>
      <c r="O59" s="31"/>
    </row>
    <row r="60" spans="1:15" x14ac:dyDescent="0.25">
      <c r="A60" s="14" t="str">
        <f t="shared" si="2"/>
        <v>Amber</v>
      </c>
      <c r="B60" s="15" t="s">
        <v>7</v>
      </c>
      <c r="C60" s="16">
        <v>72</v>
      </c>
      <c r="D60" s="17">
        <v>0.52986111111111112</v>
      </c>
      <c r="E60" s="18">
        <v>53.01</v>
      </c>
      <c r="F60" s="16">
        <v>38</v>
      </c>
      <c r="G60" s="16">
        <v>23</v>
      </c>
      <c r="H60" s="16">
        <v>638459</v>
      </c>
      <c r="I60" s="28" t="e">
        <f t="shared" si="3"/>
        <v>#N/A</v>
      </c>
      <c r="J60" s="28">
        <f t="shared" si="4"/>
        <v>72</v>
      </c>
      <c r="K60" s="26"/>
      <c r="L60" s="26"/>
      <c r="M60" s="26"/>
      <c r="N60" s="26"/>
      <c r="O60" s="31"/>
    </row>
    <row r="61" spans="1:15" x14ac:dyDescent="0.25">
      <c r="A61" s="14" t="str">
        <f t="shared" si="2"/>
        <v>Amber</v>
      </c>
      <c r="B61" s="15" t="s">
        <v>5</v>
      </c>
      <c r="C61" s="16">
        <v>39</v>
      </c>
      <c r="D61" s="17">
        <v>0.53055555555555556</v>
      </c>
      <c r="E61" s="18">
        <v>53.67</v>
      </c>
      <c r="F61" s="16">
        <v>50</v>
      </c>
      <c r="G61" s="16">
        <v>70</v>
      </c>
      <c r="H61" s="16">
        <v>641655</v>
      </c>
      <c r="I61" s="28" t="e">
        <f t="shared" si="3"/>
        <v>#N/A</v>
      </c>
      <c r="J61" s="28">
        <f t="shared" si="4"/>
        <v>39</v>
      </c>
      <c r="K61" s="26"/>
      <c r="L61" s="26"/>
      <c r="M61" s="26"/>
      <c r="N61" s="26"/>
      <c r="O61" s="31"/>
    </row>
    <row r="62" spans="1:15" x14ac:dyDescent="0.25">
      <c r="A62" s="14" t="str">
        <f t="shared" si="2"/>
        <v>Amber</v>
      </c>
      <c r="B62" s="15" t="s">
        <v>5</v>
      </c>
      <c r="C62" s="16">
        <v>21</v>
      </c>
      <c r="D62" s="17">
        <v>0.53194444444444444</v>
      </c>
      <c r="E62" s="18">
        <v>54.74</v>
      </c>
      <c r="F62" s="16">
        <v>30</v>
      </c>
      <c r="G62" s="16">
        <v>36</v>
      </c>
      <c r="H62" s="16">
        <v>641655</v>
      </c>
      <c r="I62" s="28" t="e">
        <f t="shared" si="3"/>
        <v>#N/A</v>
      </c>
      <c r="J62" s="28">
        <f t="shared" si="4"/>
        <v>21</v>
      </c>
      <c r="K62" s="26"/>
      <c r="L62" s="26"/>
      <c r="M62" s="26"/>
      <c r="N62" s="26"/>
      <c r="O62" s="31"/>
    </row>
    <row r="63" spans="1:15" x14ac:dyDescent="0.25">
      <c r="A63" s="14" t="str">
        <f t="shared" si="2"/>
        <v>Red</v>
      </c>
      <c r="B63" s="19" t="s">
        <v>9</v>
      </c>
      <c r="C63" s="16">
        <v>100</v>
      </c>
      <c r="D63" s="17">
        <v>0.53194444444444444</v>
      </c>
      <c r="E63" s="18">
        <v>54.75</v>
      </c>
      <c r="F63" s="16" t="s">
        <v>18</v>
      </c>
      <c r="G63" s="16">
        <v>37</v>
      </c>
      <c r="H63" s="16">
        <v>641655</v>
      </c>
      <c r="I63" s="28">
        <f t="shared" si="3"/>
        <v>100</v>
      </c>
      <c r="J63" s="28" t="e">
        <f t="shared" si="4"/>
        <v>#N/A</v>
      </c>
      <c r="K63" s="26"/>
      <c r="L63" s="26"/>
      <c r="M63" s="26"/>
      <c r="N63" s="26"/>
      <c r="O63" s="31"/>
    </row>
    <row r="64" spans="1:15" x14ac:dyDescent="0.25">
      <c r="A64" s="14" t="str">
        <f t="shared" si="2"/>
        <v>Amber</v>
      </c>
      <c r="B64" s="19" t="s">
        <v>9</v>
      </c>
      <c r="C64" s="16">
        <v>67</v>
      </c>
      <c r="D64" s="17">
        <v>0.53263888888888888</v>
      </c>
      <c r="E64" s="18">
        <v>55.19</v>
      </c>
      <c r="F64" s="16" t="s">
        <v>18</v>
      </c>
      <c r="G64" s="16">
        <v>50</v>
      </c>
      <c r="H64" s="16">
        <v>641655</v>
      </c>
      <c r="I64" s="28" t="e">
        <f t="shared" si="3"/>
        <v>#N/A</v>
      </c>
      <c r="J64" s="28">
        <f t="shared" si="4"/>
        <v>67</v>
      </c>
      <c r="K64" s="26"/>
      <c r="L64" s="26"/>
      <c r="M64" s="26"/>
      <c r="N64" s="26"/>
      <c r="O64" s="31"/>
    </row>
    <row r="65" spans="1:15" x14ac:dyDescent="0.25">
      <c r="A65" s="14" t="str">
        <f t="shared" si="2"/>
        <v>Amber</v>
      </c>
      <c r="B65" s="15" t="s">
        <v>7</v>
      </c>
      <c r="C65" s="16">
        <v>83</v>
      </c>
      <c r="D65" s="17">
        <v>0.53333333333333333</v>
      </c>
      <c r="E65" s="18">
        <v>55.7</v>
      </c>
      <c r="F65" s="16">
        <v>21</v>
      </c>
      <c r="G65" s="16">
        <v>1</v>
      </c>
      <c r="H65" s="16">
        <v>641655</v>
      </c>
      <c r="I65" s="28" t="e">
        <f t="shared" si="3"/>
        <v>#N/A</v>
      </c>
      <c r="J65" s="28">
        <f t="shared" si="4"/>
        <v>83</v>
      </c>
      <c r="K65" s="26"/>
      <c r="L65" s="26"/>
      <c r="M65" s="26"/>
      <c r="N65" s="26"/>
      <c r="O65" s="31"/>
    </row>
    <row r="66" spans="1:15" x14ac:dyDescent="0.25">
      <c r="A66" s="14" t="str">
        <f t="shared" si="2"/>
        <v>Amber</v>
      </c>
      <c r="B66" s="15" t="s">
        <v>5</v>
      </c>
      <c r="C66" s="16">
        <v>32</v>
      </c>
      <c r="D66" s="17">
        <v>0.54166666666666663</v>
      </c>
      <c r="E66" s="18">
        <v>55.83</v>
      </c>
      <c r="F66" s="16">
        <v>30</v>
      </c>
      <c r="G66" s="16">
        <v>46</v>
      </c>
      <c r="H66" s="16">
        <v>641655</v>
      </c>
      <c r="I66" s="28" t="e">
        <f t="shared" ref="I66:I78" si="5">IF(C66&gt;$M$1,C66,NA())</f>
        <v>#N/A</v>
      </c>
      <c r="J66" s="28">
        <f t="shared" ref="J66:J78" si="6">IF(C66&lt;=$M$1,C66,NA())</f>
        <v>32</v>
      </c>
      <c r="K66" s="26"/>
      <c r="L66" s="26"/>
      <c r="M66" s="26"/>
      <c r="N66" s="26"/>
      <c r="O66" s="31"/>
    </row>
    <row r="67" spans="1:15" x14ac:dyDescent="0.25">
      <c r="A67" s="14" t="str">
        <f t="shared" ref="A67:A78" si="7">IF(C67&gt;$M$1,$L$5,$L$6)</f>
        <v>Amber</v>
      </c>
      <c r="B67" s="15" t="s">
        <v>5</v>
      </c>
      <c r="C67" s="16">
        <v>1</v>
      </c>
      <c r="D67" s="17">
        <v>0.55833333333333335</v>
      </c>
      <c r="E67" s="18">
        <v>56.93</v>
      </c>
      <c r="F67" s="16">
        <v>30</v>
      </c>
      <c r="G67" s="16">
        <v>34</v>
      </c>
      <c r="H67" s="16">
        <v>641655</v>
      </c>
      <c r="I67" s="28" t="e">
        <f t="shared" si="5"/>
        <v>#N/A</v>
      </c>
      <c r="J67" s="28">
        <f t="shared" si="6"/>
        <v>1</v>
      </c>
      <c r="K67" s="26"/>
      <c r="L67" s="26"/>
      <c r="M67" s="26"/>
      <c r="N67" s="26"/>
      <c r="O67" s="31"/>
    </row>
    <row r="68" spans="1:15" x14ac:dyDescent="0.25">
      <c r="A68" s="14" t="str">
        <f t="shared" si="7"/>
        <v>Amber</v>
      </c>
      <c r="B68" s="19" t="s">
        <v>9</v>
      </c>
      <c r="C68" s="16">
        <v>52</v>
      </c>
      <c r="D68" s="17">
        <v>0.55833333333333335</v>
      </c>
      <c r="E68" s="18">
        <v>57.32</v>
      </c>
      <c r="F68" s="16" t="s">
        <v>18</v>
      </c>
      <c r="G68" s="16">
        <v>33</v>
      </c>
      <c r="H68" s="16">
        <v>641655</v>
      </c>
      <c r="I68" s="28" t="e">
        <f t="shared" si="5"/>
        <v>#N/A</v>
      </c>
      <c r="J68" s="28">
        <f t="shared" si="6"/>
        <v>52</v>
      </c>
      <c r="K68" s="26"/>
      <c r="L68" s="26"/>
      <c r="M68" s="26"/>
      <c r="N68" s="26"/>
      <c r="O68" s="31"/>
    </row>
    <row r="69" spans="1:15" x14ac:dyDescent="0.25">
      <c r="A69" s="14" t="str">
        <f t="shared" si="7"/>
        <v>Amber</v>
      </c>
      <c r="B69" s="19" t="s">
        <v>9</v>
      </c>
      <c r="C69" s="16">
        <v>73</v>
      </c>
      <c r="D69" s="17">
        <v>0.55972222222222223</v>
      </c>
      <c r="E69" s="18">
        <v>58.37</v>
      </c>
      <c r="F69" s="16" t="s">
        <v>18</v>
      </c>
      <c r="G69" s="16">
        <v>56</v>
      </c>
      <c r="H69" s="16">
        <v>638459</v>
      </c>
      <c r="I69" s="28" t="e">
        <f t="shared" si="5"/>
        <v>#N/A</v>
      </c>
      <c r="J69" s="28">
        <f t="shared" si="6"/>
        <v>73</v>
      </c>
      <c r="K69" s="26"/>
      <c r="L69" s="26"/>
      <c r="M69" s="26"/>
      <c r="N69" s="26"/>
      <c r="O69" s="31"/>
    </row>
    <row r="70" spans="1:15" x14ac:dyDescent="0.25">
      <c r="A70" s="14" t="str">
        <f t="shared" si="7"/>
        <v>Red</v>
      </c>
      <c r="B70" s="15" t="s">
        <v>5</v>
      </c>
      <c r="C70" s="16">
        <v>97</v>
      </c>
      <c r="D70" s="17">
        <v>0.56041666666666667</v>
      </c>
      <c r="E70" s="18">
        <v>58.4</v>
      </c>
      <c r="F70" s="16">
        <v>50</v>
      </c>
      <c r="G70" s="16">
        <v>100</v>
      </c>
      <c r="H70" s="16">
        <v>638459</v>
      </c>
      <c r="I70" s="28">
        <f t="shared" si="5"/>
        <v>97</v>
      </c>
      <c r="J70" s="28" t="e">
        <f t="shared" si="6"/>
        <v>#N/A</v>
      </c>
      <c r="K70" s="26"/>
      <c r="L70" s="26"/>
      <c r="M70" s="26"/>
      <c r="N70" s="26"/>
      <c r="O70" s="31"/>
    </row>
    <row r="71" spans="1:15" x14ac:dyDescent="0.25">
      <c r="A71" s="14" t="str">
        <f t="shared" si="7"/>
        <v>Amber</v>
      </c>
      <c r="B71" s="19" t="s">
        <v>9</v>
      </c>
      <c r="C71" s="16">
        <v>73</v>
      </c>
      <c r="D71" s="17">
        <v>0.56041666666666667</v>
      </c>
      <c r="E71" s="18">
        <v>58.77</v>
      </c>
      <c r="F71" s="16" t="s">
        <v>18</v>
      </c>
      <c r="G71" s="16">
        <v>42</v>
      </c>
      <c r="H71" s="16">
        <v>638459</v>
      </c>
      <c r="I71" s="28" t="e">
        <f t="shared" si="5"/>
        <v>#N/A</v>
      </c>
      <c r="J71" s="28">
        <f t="shared" si="6"/>
        <v>73</v>
      </c>
      <c r="K71" s="26"/>
      <c r="L71" s="26"/>
      <c r="M71" s="26"/>
      <c r="N71" s="26"/>
      <c r="O71" s="31"/>
    </row>
    <row r="72" spans="1:15" x14ac:dyDescent="0.25">
      <c r="A72" s="14" t="str">
        <f t="shared" si="7"/>
        <v>Amber</v>
      </c>
      <c r="B72" s="15" t="s">
        <v>5</v>
      </c>
      <c r="C72" s="16">
        <v>52</v>
      </c>
      <c r="D72" s="17">
        <v>0.56180555555555556</v>
      </c>
      <c r="E72" s="18">
        <v>60.5</v>
      </c>
      <c r="F72" s="16">
        <v>50</v>
      </c>
      <c r="G72" s="16">
        <v>64</v>
      </c>
      <c r="H72" s="16">
        <v>638459</v>
      </c>
      <c r="I72" s="28" t="e">
        <f t="shared" si="5"/>
        <v>#N/A</v>
      </c>
      <c r="J72" s="28">
        <f t="shared" si="6"/>
        <v>52</v>
      </c>
      <c r="K72" s="26"/>
      <c r="L72" s="26"/>
      <c r="M72" s="26"/>
      <c r="N72" s="26"/>
      <c r="O72" s="31"/>
    </row>
    <row r="73" spans="1:15" x14ac:dyDescent="0.25">
      <c r="A73" s="14" t="str">
        <f t="shared" si="7"/>
        <v>Amber</v>
      </c>
      <c r="B73" s="19" t="s">
        <v>9</v>
      </c>
      <c r="C73" s="16">
        <v>59</v>
      </c>
      <c r="D73" s="17">
        <v>0.56180555555555556</v>
      </c>
      <c r="E73" s="18">
        <v>60.52</v>
      </c>
      <c r="F73" s="16" t="s">
        <v>18</v>
      </c>
      <c r="G73" s="16">
        <v>56</v>
      </c>
      <c r="H73" s="16">
        <v>638459</v>
      </c>
      <c r="I73" s="28" t="e">
        <f t="shared" si="5"/>
        <v>#N/A</v>
      </c>
      <c r="J73" s="28">
        <f t="shared" si="6"/>
        <v>59</v>
      </c>
      <c r="K73" s="26"/>
      <c r="L73" s="26"/>
      <c r="M73" s="26"/>
      <c r="N73" s="26"/>
      <c r="O73" s="31"/>
    </row>
    <row r="74" spans="1:15" x14ac:dyDescent="0.25">
      <c r="A74" s="14" t="str">
        <f t="shared" si="7"/>
        <v>Red</v>
      </c>
      <c r="B74" s="15" t="s">
        <v>7</v>
      </c>
      <c r="C74" s="16">
        <v>94</v>
      </c>
      <c r="D74" s="17">
        <v>0.5625</v>
      </c>
      <c r="E74" s="18">
        <v>60.77</v>
      </c>
      <c r="F74" s="16">
        <v>39</v>
      </c>
      <c r="G74" s="16">
        <v>26</v>
      </c>
      <c r="H74" s="16">
        <v>638459</v>
      </c>
      <c r="I74" s="28">
        <f t="shared" si="5"/>
        <v>94</v>
      </c>
      <c r="J74" s="28" t="e">
        <f t="shared" si="6"/>
        <v>#N/A</v>
      </c>
      <c r="K74" s="26"/>
      <c r="L74" s="26"/>
      <c r="M74" s="26"/>
      <c r="N74" s="26"/>
      <c r="O74" s="31"/>
    </row>
    <row r="75" spans="1:15" x14ac:dyDescent="0.25">
      <c r="A75" s="14" t="str">
        <f t="shared" si="7"/>
        <v>Amber</v>
      </c>
      <c r="B75" s="15" t="s">
        <v>7</v>
      </c>
      <c r="C75" s="16">
        <v>36</v>
      </c>
      <c r="D75" s="17">
        <v>0.5625</v>
      </c>
      <c r="E75" s="18">
        <v>60.82</v>
      </c>
      <c r="F75" s="16">
        <v>27</v>
      </c>
      <c r="G75" s="16">
        <v>14</v>
      </c>
      <c r="H75" s="16">
        <v>638459</v>
      </c>
      <c r="I75" s="28" t="e">
        <f t="shared" si="5"/>
        <v>#N/A</v>
      </c>
      <c r="J75" s="28">
        <f t="shared" si="6"/>
        <v>36</v>
      </c>
      <c r="K75" s="26"/>
      <c r="L75" s="26"/>
      <c r="M75" s="26"/>
      <c r="N75" s="26"/>
      <c r="O75" s="31"/>
    </row>
    <row r="76" spans="1:15" x14ac:dyDescent="0.25">
      <c r="A76" s="14" t="str">
        <f t="shared" si="7"/>
        <v>Amber</v>
      </c>
      <c r="B76" s="19" t="s">
        <v>9</v>
      </c>
      <c r="C76" s="16">
        <v>52</v>
      </c>
      <c r="D76" s="17">
        <v>0.5625</v>
      </c>
      <c r="E76" s="18">
        <v>60.96</v>
      </c>
      <c r="F76" s="16" t="s">
        <v>18</v>
      </c>
      <c r="G76" s="16">
        <v>42</v>
      </c>
      <c r="H76" s="16">
        <v>638459</v>
      </c>
      <c r="I76" s="28" t="e">
        <f t="shared" si="5"/>
        <v>#N/A</v>
      </c>
      <c r="J76" s="28">
        <f t="shared" si="6"/>
        <v>52</v>
      </c>
      <c r="K76" s="26"/>
      <c r="L76" s="26"/>
      <c r="M76" s="26"/>
      <c r="N76" s="26"/>
      <c r="O76" s="31"/>
    </row>
    <row r="77" spans="1:15" x14ac:dyDescent="0.25">
      <c r="A77" s="14" t="str">
        <f t="shared" si="7"/>
        <v>Amber</v>
      </c>
      <c r="B77" s="19" t="s">
        <v>9</v>
      </c>
      <c r="C77" s="16">
        <v>69</v>
      </c>
      <c r="D77" s="17">
        <v>0.5625</v>
      </c>
      <c r="E77" s="18">
        <v>61.14</v>
      </c>
      <c r="F77" s="16" t="s">
        <v>18</v>
      </c>
      <c r="G77" s="16">
        <v>39</v>
      </c>
      <c r="H77" s="16">
        <v>638459</v>
      </c>
      <c r="I77" s="28" t="e">
        <f t="shared" si="5"/>
        <v>#N/A</v>
      </c>
      <c r="J77" s="28">
        <f t="shared" si="6"/>
        <v>69</v>
      </c>
      <c r="K77" s="26"/>
      <c r="L77" s="26"/>
      <c r="M77" s="26"/>
      <c r="N77" s="26"/>
      <c r="O77" s="31"/>
    </row>
    <row r="78" spans="1:15" x14ac:dyDescent="0.25">
      <c r="A78" s="14" t="str">
        <f t="shared" si="7"/>
        <v>Amber</v>
      </c>
      <c r="B78" s="19" t="s">
        <v>11</v>
      </c>
      <c r="C78" s="16">
        <v>59</v>
      </c>
      <c r="D78" s="17">
        <v>0.56527777777777777</v>
      </c>
      <c r="E78" s="18">
        <v>62.63</v>
      </c>
      <c r="F78" s="16" t="s">
        <v>18</v>
      </c>
      <c r="G78" s="16">
        <v>17</v>
      </c>
      <c r="H78" s="16">
        <v>638459</v>
      </c>
      <c r="I78" s="28" t="e">
        <f t="shared" si="5"/>
        <v>#N/A</v>
      </c>
      <c r="J78" s="28">
        <f t="shared" si="6"/>
        <v>59</v>
      </c>
      <c r="K78" s="26"/>
      <c r="L78" s="26"/>
      <c r="M78" s="26"/>
      <c r="N78" s="26"/>
      <c r="O78" s="31"/>
    </row>
  </sheetData>
  <autoFilter ref="A1:J78" xr:uid="{036A4199-BDD1-4B06-820A-406EB84C9F99}"/>
  <conditionalFormatting sqref="A2:A78">
    <cfRule type="cellIs" dxfId="81" priority="1" operator="equal">
      <formula>"Red"</formula>
    </cfRule>
    <cfRule type="cellIs" dxfId="80" priority="2" operator="equal">
      <formula>"Amber"</formula>
    </cfRule>
    <cfRule type="cellIs" priority="3" operator="equal">
      <formula>"Amber"</formula>
    </cfRule>
    <cfRule type="cellIs" dxfId="79" priority="4" operator="equal">
      <formula>"Amber"</formula>
    </cfRule>
    <cfRule type="cellIs" dxfId="78" priority="5" operator="equal">
      <formula>"Blue"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1CA42-09BC-45F4-A977-03121AAC3495}">
  <sheetPr codeName="Sheet5">
    <tabColor theme="4" tint="0.59999389629810485"/>
  </sheetPr>
  <dimension ref="BV71"/>
  <sheetViews>
    <sheetView showGridLines="0" showRowColHeaders="0" tabSelected="1" zoomScale="25" zoomScaleNormal="25" workbookViewId="0">
      <selection activeCell="BV71" sqref="BV71"/>
    </sheetView>
  </sheetViews>
  <sheetFormatPr defaultRowHeight="15" x14ac:dyDescent="0.25"/>
  <sheetData>
    <row r="71" spans="74:74" ht="24.75" x14ac:dyDescent="0.4">
      <c r="BV71" s="95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1EC57-ED0F-43FA-8412-EC783BBB57EC}">
  <sheetPr codeName="Sheet8">
    <tabColor theme="7" tint="0.59999389629810485"/>
  </sheetPr>
  <dimension ref="A1:K39"/>
  <sheetViews>
    <sheetView zoomScaleNormal="100" workbookViewId="0">
      <selection activeCell="K21" sqref="K21"/>
    </sheetView>
  </sheetViews>
  <sheetFormatPr defaultRowHeight="15" x14ac:dyDescent="0.25"/>
  <cols>
    <col min="1" max="1" width="15" style="6" bestFit="1" customWidth="1"/>
    <col min="2" max="2" width="16.7109375" style="6" bestFit="1" customWidth="1"/>
    <col min="3" max="3" width="15.140625" style="6" bestFit="1" customWidth="1"/>
    <col min="4" max="4" width="13.7109375" style="6" bestFit="1" customWidth="1"/>
    <col min="5" max="5" width="10.140625" style="34" bestFit="1" customWidth="1"/>
    <col min="6" max="6" width="16.7109375" style="6" bestFit="1" customWidth="1"/>
    <col min="7" max="7" width="18.85546875" style="6" bestFit="1" customWidth="1"/>
    <col min="8" max="8" width="10.5703125" style="6" bestFit="1" customWidth="1"/>
    <col min="9" max="9" width="17" style="6" bestFit="1" customWidth="1"/>
    <col min="10" max="10" width="12" style="6" bestFit="1" customWidth="1"/>
    <col min="11" max="11" width="9.140625" style="6"/>
  </cols>
  <sheetData>
    <row r="1" spans="1:10" x14ac:dyDescent="0.25">
      <c r="A1" s="35" t="s">
        <v>24</v>
      </c>
      <c r="B1" s="36" t="s">
        <v>15</v>
      </c>
      <c r="C1" s="37" t="s">
        <v>16</v>
      </c>
      <c r="D1" s="38" t="s">
        <v>4</v>
      </c>
      <c r="E1" s="39" t="s">
        <v>17</v>
      </c>
      <c r="F1" s="40" t="s">
        <v>0</v>
      </c>
      <c r="G1" s="38" t="s">
        <v>1</v>
      </c>
      <c r="H1" s="38" t="s">
        <v>2</v>
      </c>
      <c r="I1" s="38" t="s">
        <v>26</v>
      </c>
      <c r="J1" s="41" t="s">
        <v>3</v>
      </c>
    </row>
    <row r="2" spans="1:10" ht="16.5" customHeight="1" x14ac:dyDescent="0.25">
      <c r="A2" s="42" t="s">
        <v>28</v>
      </c>
      <c r="B2" s="20" t="s">
        <v>14</v>
      </c>
      <c r="C2" s="21" t="s">
        <v>7</v>
      </c>
      <c r="D2" s="22">
        <v>91</v>
      </c>
      <c r="E2" s="43">
        <v>0.47361111111111115</v>
      </c>
      <c r="F2" s="24">
        <v>3.88</v>
      </c>
      <c r="G2" s="22">
        <v>30</v>
      </c>
      <c r="H2" s="22">
        <v>13</v>
      </c>
      <c r="I2" s="44">
        <v>30</v>
      </c>
      <c r="J2" s="45">
        <v>641035</v>
      </c>
    </row>
    <row r="3" spans="1:10" x14ac:dyDescent="0.25">
      <c r="A3" s="42" t="s">
        <v>29</v>
      </c>
      <c r="B3" s="20" t="s">
        <v>14</v>
      </c>
      <c r="C3" s="21" t="s">
        <v>7</v>
      </c>
      <c r="D3" s="22">
        <v>94</v>
      </c>
      <c r="E3" s="43">
        <v>0.47500000000000003</v>
      </c>
      <c r="F3" s="24">
        <v>7.5</v>
      </c>
      <c r="G3" s="22">
        <v>16</v>
      </c>
      <c r="H3" s="22">
        <v>1</v>
      </c>
      <c r="I3" s="44">
        <v>16</v>
      </c>
      <c r="J3" s="45">
        <v>641035</v>
      </c>
    </row>
    <row r="4" spans="1:10" x14ac:dyDescent="0.25">
      <c r="A4" s="42" t="s">
        <v>30</v>
      </c>
      <c r="B4" s="20" t="s">
        <v>14</v>
      </c>
      <c r="C4" s="25" t="s">
        <v>25</v>
      </c>
      <c r="D4" s="22">
        <v>99</v>
      </c>
      <c r="E4" s="43">
        <v>0.4826388888888889</v>
      </c>
      <c r="F4" s="24">
        <v>8.8699999999999992</v>
      </c>
      <c r="G4" s="22">
        <v>21</v>
      </c>
      <c r="H4" s="22">
        <v>81</v>
      </c>
      <c r="I4" s="44">
        <v>81</v>
      </c>
      <c r="J4" s="45">
        <v>641107</v>
      </c>
    </row>
    <row r="5" spans="1:10" x14ac:dyDescent="0.25">
      <c r="A5" s="42" t="s">
        <v>31</v>
      </c>
      <c r="B5" s="20" t="s">
        <v>14</v>
      </c>
      <c r="C5" s="21" t="s">
        <v>5</v>
      </c>
      <c r="D5" s="22">
        <v>100</v>
      </c>
      <c r="E5" s="43">
        <v>0.51388888888888895</v>
      </c>
      <c r="F5" s="24">
        <v>42.06</v>
      </c>
      <c r="G5" s="22">
        <v>30</v>
      </c>
      <c r="H5" s="22">
        <v>42</v>
      </c>
      <c r="I5" s="44">
        <v>42</v>
      </c>
      <c r="J5" s="45">
        <v>638459</v>
      </c>
    </row>
    <row r="6" spans="1:10" x14ac:dyDescent="0.25">
      <c r="A6" s="42" t="s">
        <v>32</v>
      </c>
      <c r="B6" s="20" t="s">
        <v>14</v>
      </c>
      <c r="C6" s="25" t="s">
        <v>9</v>
      </c>
      <c r="D6" s="22">
        <v>93</v>
      </c>
      <c r="E6" s="43">
        <v>0.51597222222222217</v>
      </c>
      <c r="F6" s="24">
        <v>44.17</v>
      </c>
      <c r="G6" s="22"/>
      <c r="H6" s="22">
        <v>38</v>
      </c>
      <c r="I6" s="44">
        <v>38</v>
      </c>
      <c r="J6" s="45">
        <v>638459</v>
      </c>
    </row>
    <row r="7" spans="1:10" x14ac:dyDescent="0.25">
      <c r="A7" s="42" t="s">
        <v>33</v>
      </c>
      <c r="B7" s="20" t="s">
        <v>14</v>
      </c>
      <c r="C7" s="25" t="s">
        <v>9</v>
      </c>
      <c r="D7" s="22">
        <v>100</v>
      </c>
      <c r="E7" s="43">
        <v>0.53194444444444444</v>
      </c>
      <c r="F7" s="24">
        <v>54.75</v>
      </c>
      <c r="G7" s="22"/>
      <c r="H7" s="22">
        <v>37</v>
      </c>
      <c r="I7" s="44">
        <v>37</v>
      </c>
      <c r="J7" s="45">
        <v>641655</v>
      </c>
    </row>
    <row r="8" spans="1:10" x14ac:dyDescent="0.25">
      <c r="A8" s="42" t="s">
        <v>34</v>
      </c>
      <c r="B8" s="20" t="s">
        <v>14</v>
      </c>
      <c r="C8" s="21" t="s">
        <v>5</v>
      </c>
      <c r="D8" s="22">
        <v>97</v>
      </c>
      <c r="E8" s="43">
        <v>0.56041666666666667</v>
      </c>
      <c r="F8" s="24">
        <v>58.4</v>
      </c>
      <c r="G8" s="22">
        <v>50</v>
      </c>
      <c r="H8" s="22">
        <v>100</v>
      </c>
      <c r="I8" s="44">
        <v>100</v>
      </c>
      <c r="J8" s="45">
        <v>638459</v>
      </c>
    </row>
    <row r="9" spans="1:10" x14ac:dyDescent="0.25">
      <c r="A9" s="46" t="s">
        <v>35</v>
      </c>
      <c r="B9" s="47" t="s">
        <v>14</v>
      </c>
      <c r="C9" s="48" t="s">
        <v>7</v>
      </c>
      <c r="D9" s="49">
        <v>94</v>
      </c>
      <c r="E9" s="50">
        <v>0.5625</v>
      </c>
      <c r="F9" s="51">
        <v>60.77</v>
      </c>
      <c r="G9" s="49">
        <v>39</v>
      </c>
      <c r="H9" s="49">
        <v>26</v>
      </c>
      <c r="I9" s="52">
        <v>26</v>
      </c>
      <c r="J9" s="53">
        <v>638459</v>
      </c>
    </row>
    <row r="10" spans="1:10" x14ac:dyDescent="0.25">
      <c r="A10" s="54"/>
      <c r="B10" s="54"/>
      <c r="C10" s="54"/>
      <c r="D10" s="54"/>
      <c r="E10" s="55"/>
      <c r="F10" s="54"/>
      <c r="G10" s="54"/>
      <c r="H10" s="54"/>
      <c r="I10" s="54"/>
      <c r="J10" s="54"/>
    </row>
    <row r="11" spans="1:10" x14ac:dyDescent="0.25">
      <c r="A11" s="54"/>
      <c r="B11" s="54"/>
      <c r="C11" s="54"/>
      <c r="D11" s="54"/>
      <c r="E11" s="55"/>
      <c r="F11" s="54"/>
      <c r="G11" s="54"/>
      <c r="H11" s="54"/>
      <c r="I11" s="54"/>
      <c r="J11" s="54"/>
    </row>
    <row r="12" spans="1:10" x14ac:dyDescent="0.25">
      <c r="A12" s="54"/>
      <c r="B12" s="54"/>
      <c r="C12" s="55"/>
      <c r="D12" s="55"/>
      <c r="E12" s="54"/>
      <c r="F12" s="54"/>
      <c r="G12" s="54"/>
      <c r="H12" s="54"/>
      <c r="I12" s="54"/>
      <c r="J12" s="54"/>
    </row>
    <row r="13" spans="1:10" x14ac:dyDescent="0.25">
      <c r="A13" s="56" t="s">
        <v>24</v>
      </c>
      <c r="B13" s="57" t="s">
        <v>15</v>
      </c>
      <c r="C13" s="58" t="s">
        <v>16</v>
      </c>
      <c r="D13" s="59" t="s">
        <v>4</v>
      </c>
      <c r="E13" s="60" t="s">
        <v>17</v>
      </c>
      <c r="F13" s="61" t="s">
        <v>0</v>
      </c>
      <c r="G13" s="59" t="s">
        <v>27</v>
      </c>
      <c r="H13" s="59" t="s">
        <v>2</v>
      </c>
      <c r="I13" s="59" t="s">
        <v>26</v>
      </c>
      <c r="J13" s="62" t="s">
        <v>3</v>
      </c>
    </row>
    <row r="14" spans="1:10" x14ac:dyDescent="0.25">
      <c r="A14" s="63" t="s">
        <v>35</v>
      </c>
      <c r="B14" s="64" t="str">
        <f>VLOOKUP(A14,Table8103[#All],2,FALSE)</f>
        <v>Red</v>
      </c>
      <c r="C14" s="65" t="str">
        <f>VLOOKUP(A14,Table8103[#All],3,FALSE)</f>
        <v>Sudden Braking</v>
      </c>
      <c r="D14" s="66">
        <f>VLOOKUP(A14,Table8103[#All],4,FALSE)</f>
        <v>94</v>
      </c>
      <c r="E14" s="67">
        <f>VLOOKUP(A14,Table8103[#All],5,FALSE)</f>
        <v>0.5625</v>
      </c>
      <c r="F14" s="66">
        <f>VLOOKUP(A14,Table8103[#All],6,FALSE)</f>
        <v>60.77</v>
      </c>
      <c r="G14" s="66">
        <f>VLOOKUP(A14,Table8103[#All],7,FALSE)</f>
        <v>39</v>
      </c>
      <c r="H14" s="66">
        <f>VLOOKUP(A14,Table8103[#All],8,FALSE)</f>
        <v>26</v>
      </c>
      <c r="I14" s="68">
        <f>VLOOKUP(A14,Table8103[#All],9,FALSE)</f>
        <v>26</v>
      </c>
      <c r="J14" s="69">
        <f>VLOOKUP(A14,Table8103[#All],10,FALSE)</f>
        <v>638459</v>
      </c>
    </row>
    <row r="18" spans="5:5" x14ac:dyDescent="0.25">
      <c r="E18" s="6"/>
    </row>
    <row r="19" spans="5:5" x14ac:dyDescent="0.25">
      <c r="E19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</sheetData>
  <conditionalFormatting sqref="A2:B9">
    <cfRule type="cellIs" dxfId="77" priority="1" operator="equal">
      <formula>"Red"</formula>
    </cfRule>
    <cfRule type="cellIs" dxfId="76" priority="2" operator="equal">
      <formula>"Amber"</formula>
    </cfRule>
    <cfRule type="cellIs" priority="3" operator="equal">
      <formula>"Amber"</formula>
    </cfRule>
    <cfRule type="cellIs" dxfId="75" priority="4" operator="equal">
      <formula>"Amber"</formula>
    </cfRule>
    <cfRule type="cellIs" dxfId="74" priority="5" operator="equal">
      <formula>"Blue"</formula>
    </cfRule>
  </conditionalFormatting>
  <dataValidations count="1">
    <dataValidation type="list" allowBlank="1" showInputMessage="1" showErrorMessage="1" sqref="A14" xr:uid="{1B01720C-BAE2-4DE7-8986-97A372CD6F66}">
      <formula1>$A$2:$A$9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59B5E-DB75-4E13-AF47-BD03E9912A44}">
  <sheetPr codeName="Sheet2">
    <tabColor theme="7" tint="0.59999389629810485"/>
  </sheetPr>
  <dimension ref="A1"/>
  <sheetViews>
    <sheetView workbookViewId="0">
      <selection activeCell="K25" sqref="K25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5A807-F3D5-4AFF-A1FA-070727389D0A}">
  <sheetPr codeName="Sheet6">
    <tabColor theme="7" tint="0.59999389629810485"/>
  </sheetPr>
  <dimension ref="N1:S22"/>
  <sheetViews>
    <sheetView showGridLines="0" showRowColHeaders="0" workbookViewId="0">
      <selection activeCell="H26" sqref="H26"/>
    </sheetView>
  </sheetViews>
  <sheetFormatPr defaultRowHeight="15" x14ac:dyDescent="0.25"/>
  <cols>
    <col min="13" max="13" width="10.140625" customWidth="1"/>
    <col min="18" max="18" width="8.85546875" customWidth="1"/>
  </cols>
  <sheetData>
    <row r="1" spans="14:19" x14ac:dyDescent="0.25">
      <c r="N1" s="91"/>
      <c r="O1" s="91"/>
      <c r="P1" s="91"/>
      <c r="Q1" s="91"/>
      <c r="R1" s="91"/>
    </row>
    <row r="2" spans="14:19" x14ac:dyDescent="0.25">
      <c r="N2" s="91"/>
      <c r="O2" s="91"/>
      <c r="P2" s="91"/>
      <c r="Q2" s="91"/>
      <c r="R2" s="91"/>
    </row>
    <row r="3" spans="14:19" x14ac:dyDescent="0.25">
      <c r="N3" s="91"/>
      <c r="O3" s="91"/>
      <c r="P3" s="91"/>
      <c r="Q3" s="91"/>
      <c r="R3" s="91"/>
      <c r="S3" s="1"/>
    </row>
    <row r="4" spans="14:19" x14ac:dyDescent="0.25">
      <c r="N4" s="91"/>
      <c r="O4" s="91"/>
      <c r="P4" s="91"/>
      <c r="Q4" s="91"/>
      <c r="R4" s="91"/>
      <c r="S4" s="1"/>
    </row>
    <row r="5" spans="14:19" x14ac:dyDescent="0.25">
      <c r="N5" s="91"/>
      <c r="O5" s="91"/>
      <c r="P5" s="91"/>
      <c r="Q5" s="91"/>
      <c r="R5" s="91"/>
      <c r="S5" s="1"/>
    </row>
    <row r="6" spans="14:19" x14ac:dyDescent="0.25">
      <c r="N6" s="91"/>
      <c r="O6" s="91"/>
      <c r="P6" s="91"/>
      <c r="Q6" s="91"/>
      <c r="R6" s="91"/>
      <c r="S6" s="1"/>
    </row>
    <row r="7" spans="14:19" x14ac:dyDescent="0.25">
      <c r="N7" s="91"/>
      <c r="O7" s="91"/>
      <c r="P7" s="91"/>
      <c r="Q7" s="91"/>
      <c r="R7" s="91"/>
      <c r="S7" s="1"/>
    </row>
    <row r="8" spans="14:19" x14ac:dyDescent="0.25">
      <c r="N8" s="91"/>
      <c r="O8" s="91"/>
      <c r="P8" s="91"/>
      <c r="Q8" s="91"/>
      <c r="R8" s="91"/>
      <c r="S8" s="1"/>
    </row>
    <row r="9" spans="14:19" x14ac:dyDescent="0.25">
      <c r="N9" s="91"/>
      <c r="O9" s="91"/>
      <c r="P9" s="91"/>
      <c r="Q9" s="91"/>
      <c r="R9" s="91"/>
      <c r="S9" s="1"/>
    </row>
    <row r="10" spans="14:19" x14ac:dyDescent="0.25">
      <c r="N10" s="91"/>
      <c r="O10" s="91"/>
      <c r="P10" s="91"/>
      <c r="Q10" s="91"/>
      <c r="R10" s="91"/>
      <c r="S10" s="1"/>
    </row>
    <row r="11" spans="14:19" x14ac:dyDescent="0.25">
      <c r="N11" s="91"/>
      <c r="O11" s="91"/>
      <c r="P11" s="91"/>
      <c r="Q11" s="91"/>
      <c r="R11" s="91"/>
      <c r="S11" s="1"/>
    </row>
    <row r="12" spans="14:19" x14ac:dyDescent="0.25">
      <c r="N12" s="91"/>
      <c r="O12" s="91"/>
      <c r="P12" s="91"/>
      <c r="Q12" s="91"/>
      <c r="R12" s="91"/>
      <c r="S12" s="1"/>
    </row>
    <row r="13" spans="14:19" x14ac:dyDescent="0.25">
      <c r="N13" s="91"/>
      <c r="O13" s="91"/>
      <c r="P13" s="91"/>
      <c r="Q13" s="91"/>
      <c r="R13" s="91"/>
      <c r="S13" s="1"/>
    </row>
    <row r="14" spans="14:19" x14ac:dyDescent="0.25">
      <c r="N14" s="91"/>
      <c r="O14" s="91"/>
      <c r="P14" s="91"/>
      <c r="Q14" s="91"/>
      <c r="R14" s="91"/>
      <c r="S14" s="1"/>
    </row>
    <row r="15" spans="14:19" x14ac:dyDescent="0.25">
      <c r="N15" s="91"/>
      <c r="O15" s="91"/>
      <c r="P15" s="91"/>
      <c r="Q15" s="91"/>
      <c r="R15" s="91"/>
      <c r="S15" s="1"/>
    </row>
    <row r="16" spans="14:19" x14ac:dyDescent="0.25">
      <c r="N16" s="91"/>
      <c r="O16" s="91"/>
      <c r="P16" s="91"/>
      <c r="Q16" s="91"/>
      <c r="R16" s="91"/>
      <c r="S16" s="1"/>
    </row>
    <row r="17" spans="14:19" x14ac:dyDescent="0.25">
      <c r="N17" s="91"/>
      <c r="O17" s="91"/>
      <c r="P17" s="91"/>
      <c r="Q17" s="91"/>
      <c r="R17" s="91"/>
      <c r="S17" s="1"/>
    </row>
    <row r="18" spans="14:19" x14ac:dyDescent="0.25">
      <c r="N18" s="91"/>
      <c r="O18" s="91"/>
      <c r="P18" s="91"/>
      <c r="Q18" s="91"/>
      <c r="R18" s="91"/>
      <c r="S18" s="1"/>
    </row>
    <row r="19" spans="14:19" x14ac:dyDescent="0.25">
      <c r="N19" s="91"/>
      <c r="O19" s="91"/>
      <c r="P19" s="91"/>
      <c r="Q19" s="91"/>
      <c r="R19" s="91"/>
      <c r="S19" s="1"/>
    </row>
    <row r="20" spans="14:19" x14ac:dyDescent="0.25">
      <c r="N20" s="91"/>
      <c r="O20" s="91"/>
      <c r="P20" s="91"/>
      <c r="Q20" s="91"/>
      <c r="R20" s="91"/>
      <c r="S20" s="1"/>
    </row>
    <row r="21" spans="14:19" x14ac:dyDescent="0.25">
      <c r="N21" s="91"/>
      <c r="O21" s="91"/>
      <c r="P21" s="91"/>
      <c r="Q21" s="91"/>
      <c r="R21" s="91"/>
      <c r="S21" s="1"/>
    </row>
    <row r="22" spans="14:19" x14ac:dyDescent="0.25">
      <c r="O22" s="1"/>
      <c r="P22" s="1"/>
      <c r="Q22" s="1"/>
      <c r="R22" s="1"/>
      <c r="S22" s="1"/>
    </row>
  </sheetData>
  <mergeCells count="1">
    <mergeCell ref="N1:R2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L8">
          <controlPr defaultSize="0" autoLine="0" r:id="rId5">
            <anchor>
              <from>
                <xdr:col>9</xdr:col>
                <xdr:colOff>352425</xdr:colOff>
                <xdr:row>11</xdr:row>
                <xdr:rowOff>0</xdr:rowOff>
              </from>
              <to>
                <xdr:col>10</xdr:col>
                <xdr:colOff>133350</xdr:colOff>
                <xdr:row>12</xdr:row>
                <xdr:rowOff>123825</xdr:rowOff>
              </to>
            </anchor>
          </controlPr>
        </control>
      </mc:Choice>
      <mc:Fallback>
        <control shapeId="3080" r:id="rId4" name="L8"/>
      </mc:Fallback>
    </mc:AlternateContent>
    <mc:AlternateContent xmlns:mc="http://schemas.openxmlformats.org/markup-compatibility/2006">
      <mc:Choice Requires="x14">
        <control shapeId="3079" r:id="rId6" name="L7">
          <controlPr defaultSize="0" autoLine="0" autoPict="0" r:id="rId7">
            <anchor moveWithCells="1">
              <from>
                <xdr:col>8</xdr:col>
                <xdr:colOff>152400</xdr:colOff>
                <xdr:row>8</xdr:row>
                <xdr:rowOff>66675</xdr:rowOff>
              </from>
              <to>
                <xdr:col>9</xdr:col>
                <xdr:colOff>276225</xdr:colOff>
                <xdr:row>12</xdr:row>
                <xdr:rowOff>9525</xdr:rowOff>
              </to>
            </anchor>
          </controlPr>
        </control>
      </mc:Choice>
      <mc:Fallback>
        <control shapeId="3079" r:id="rId6" name="L7"/>
      </mc:Fallback>
    </mc:AlternateContent>
    <mc:AlternateContent xmlns:mc="http://schemas.openxmlformats.org/markup-compatibility/2006">
      <mc:Choice Requires="x14">
        <control shapeId="3078" r:id="rId8" name="L6">
          <controlPr defaultSize="0" autoLine="0" autoPict="0" r:id="rId9">
            <anchor moveWithCells="1">
              <from>
                <xdr:col>7</xdr:col>
                <xdr:colOff>257175</xdr:colOff>
                <xdr:row>7</xdr:row>
                <xdr:rowOff>66675</xdr:rowOff>
              </from>
              <to>
                <xdr:col>8</xdr:col>
                <xdr:colOff>123825</xdr:colOff>
                <xdr:row>9</xdr:row>
                <xdr:rowOff>142875</xdr:rowOff>
              </to>
            </anchor>
          </controlPr>
        </control>
      </mc:Choice>
      <mc:Fallback>
        <control shapeId="3078" r:id="rId8" name="L6"/>
      </mc:Fallback>
    </mc:AlternateContent>
    <mc:AlternateContent xmlns:mc="http://schemas.openxmlformats.org/markup-compatibility/2006">
      <mc:Choice Requires="x14">
        <control shapeId="3077" r:id="rId10" name="L5">
          <controlPr defaultSize="0" autoLine="0" r:id="rId11">
            <anchor moveWithCells="1">
              <from>
                <xdr:col>6</xdr:col>
                <xdr:colOff>219075</xdr:colOff>
                <xdr:row>11</xdr:row>
                <xdr:rowOff>28575</xdr:rowOff>
              </from>
              <to>
                <xdr:col>7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3077" r:id="rId10" name="L5"/>
      </mc:Fallback>
    </mc:AlternateContent>
    <mc:AlternateContent xmlns:mc="http://schemas.openxmlformats.org/markup-compatibility/2006">
      <mc:Choice Requires="x14">
        <control shapeId="3076" r:id="rId12" name="L4">
          <controlPr defaultSize="0" autoLine="0" autoPict="0" r:id="rId13">
            <anchor moveWithCells="1">
              <from>
                <xdr:col>5</xdr:col>
                <xdr:colOff>180975</xdr:colOff>
                <xdr:row>6</xdr:row>
                <xdr:rowOff>171450</xdr:rowOff>
              </from>
              <to>
                <xdr:col>6</xdr:col>
                <xdr:colOff>123825</xdr:colOff>
                <xdr:row>9</xdr:row>
                <xdr:rowOff>180975</xdr:rowOff>
              </to>
            </anchor>
          </controlPr>
        </control>
      </mc:Choice>
      <mc:Fallback>
        <control shapeId="3076" r:id="rId12" name="L4"/>
      </mc:Fallback>
    </mc:AlternateContent>
    <mc:AlternateContent xmlns:mc="http://schemas.openxmlformats.org/markup-compatibility/2006">
      <mc:Choice Requires="x14">
        <control shapeId="3075" r:id="rId14" name="L3">
          <controlPr defaultSize="0" autoLine="0" r:id="rId15">
            <anchor moveWithCells="1">
              <from>
                <xdr:col>4</xdr:col>
                <xdr:colOff>104775</xdr:colOff>
                <xdr:row>7</xdr:row>
                <xdr:rowOff>19050</xdr:rowOff>
              </from>
              <to>
                <xdr:col>5</xdr:col>
                <xdr:colOff>133350</xdr:colOff>
                <xdr:row>11</xdr:row>
                <xdr:rowOff>9525</xdr:rowOff>
              </to>
            </anchor>
          </controlPr>
        </control>
      </mc:Choice>
      <mc:Fallback>
        <control shapeId="3075" r:id="rId14" name="L3"/>
      </mc:Fallback>
    </mc:AlternateContent>
    <mc:AlternateContent xmlns:mc="http://schemas.openxmlformats.org/markup-compatibility/2006">
      <mc:Choice Requires="x14">
        <control shapeId="3074" r:id="rId16" name="L2">
          <controlPr defaultSize="0" autoLine="0" autoPict="0" r:id="rId5">
            <anchor moveWithCells="1">
              <from>
                <xdr:col>3</xdr:col>
                <xdr:colOff>209550</xdr:colOff>
                <xdr:row>11</xdr:row>
                <xdr:rowOff>9525</xdr:rowOff>
              </from>
              <to>
                <xdr:col>3</xdr:col>
                <xdr:colOff>600075</xdr:colOff>
                <xdr:row>12</xdr:row>
                <xdr:rowOff>142875</xdr:rowOff>
              </to>
            </anchor>
          </controlPr>
        </control>
      </mc:Choice>
      <mc:Fallback>
        <control shapeId="3074" r:id="rId16" name="L2"/>
      </mc:Fallback>
    </mc:AlternateContent>
    <mc:AlternateContent xmlns:mc="http://schemas.openxmlformats.org/markup-compatibility/2006">
      <mc:Choice Requires="x14">
        <control shapeId="3073" r:id="rId17" name="L1">
          <controlPr defaultSize="0" autoLine="0" r:id="rId18">
            <anchor moveWithCells="1">
              <from>
                <xdr:col>2</xdr:col>
                <xdr:colOff>142875</xdr:colOff>
                <xdr:row>12</xdr:row>
                <xdr:rowOff>38100</xdr:rowOff>
              </from>
              <to>
                <xdr:col>2</xdr:col>
                <xdr:colOff>590550</xdr:colOff>
                <xdr:row>14</xdr:row>
                <xdr:rowOff>142875</xdr:rowOff>
              </to>
            </anchor>
          </controlPr>
        </control>
      </mc:Choice>
      <mc:Fallback>
        <control shapeId="3073" r:id="rId17" name="L1"/>
      </mc:Fallback>
    </mc:AlternateContent>
    <mc:AlternateContent xmlns:mc="http://schemas.openxmlformats.org/markup-compatibility/2006">
      <mc:Choice Requires="x14">
        <control shapeId="3082" r:id="rId19" name="HideAll">
          <controlPr defaultSize="0" autoLine="0" autoPict="0" r:id="rId20">
            <anchor moveWithCells="1">
              <from>
                <xdr:col>0</xdr:col>
                <xdr:colOff>371475</xdr:colOff>
                <xdr:row>0</xdr:row>
                <xdr:rowOff>66675</xdr:rowOff>
              </from>
              <to>
                <xdr:col>12</xdr:col>
                <xdr:colOff>200025</xdr:colOff>
                <xdr:row>22</xdr:row>
                <xdr:rowOff>104775</xdr:rowOff>
              </to>
            </anchor>
          </controlPr>
        </control>
      </mc:Choice>
      <mc:Fallback>
        <control shapeId="3082" r:id="rId19" name="HideAll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74563-D45C-4D5C-903F-ECB306F85F31}">
  <sheetPr codeName="Sheet1">
    <tabColor rgb="FFFFB9B9"/>
  </sheetPr>
  <dimension ref="A1:P14"/>
  <sheetViews>
    <sheetView workbookViewId="0">
      <selection activeCell="H25" sqref="H25"/>
    </sheetView>
  </sheetViews>
  <sheetFormatPr defaultRowHeight="15" x14ac:dyDescent="0.25"/>
  <cols>
    <col min="1" max="1" width="15" style="73" bestFit="1" customWidth="1"/>
    <col min="2" max="2" width="16.7109375" style="73" bestFit="1" customWidth="1"/>
    <col min="3" max="3" width="15.140625" style="73" bestFit="1" customWidth="1"/>
    <col min="4" max="4" width="13.7109375" style="73" bestFit="1" customWidth="1"/>
    <col min="5" max="5" width="10.140625" style="73" bestFit="1" customWidth="1"/>
    <col min="6" max="6" width="16.7109375" style="73" bestFit="1" customWidth="1"/>
    <col min="7" max="7" width="18.85546875" style="73" bestFit="1" customWidth="1"/>
    <col min="8" max="8" width="10.5703125" style="73" bestFit="1" customWidth="1"/>
    <col min="9" max="9" width="17" style="73" bestFit="1" customWidth="1"/>
    <col min="10" max="10" width="12" style="73" bestFit="1" customWidth="1"/>
    <col min="11" max="11" width="13.28515625" style="73" bestFit="1" customWidth="1"/>
    <col min="12" max="12" width="15.42578125" style="73" bestFit="1" customWidth="1"/>
    <col min="13" max="13" width="15.85546875" style="73" bestFit="1" customWidth="1"/>
    <col min="14" max="14" width="9" style="73" customWidth="1"/>
    <col min="15" max="15" width="10.140625" style="73" customWidth="1"/>
    <col min="16" max="16" width="11.5703125" style="73" customWidth="1"/>
    <col min="17" max="18" width="10.140625" customWidth="1"/>
  </cols>
  <sheetData>
    <row r="1" spans="1:16" s="6" customFormat="1" x14ac:dyDescent="0.25">
      <c r="A1" s="35" t="s">
        <v>24</v>
      </c>
      <c r="B1" s="36" t="s">
        <v>15</v>
      </c>
      <c r="C1" s="37" t="s">
        <v>16</v>
      </c>
      <c r="D1" s="38" t="s">
        <v>4</v>
      </c>
      <c r="E1" s="39" t="s">
        <v>17</v>
      </c>
      <c r="F1" s="40" t="s">
        <v>0</v>
      </c>
      <c r="G1" s="38" t="s">
        <v>1</v>
      </c>
      <c r="H1" s="38" t="s">
        <v>2</v>
      </c>
      <c r="I1" s="38" t="s">
        <v>26</v>
      </c>
      <c r="J1" s="41" t="s">
        <v>3</v>
      </c>
      <c r="K1" s="70" t="s">
        <v>41</v>
      </c>
      <c r="L1" s="70" t="s">
        <v>42</v>
      </c>
      <c r="M1" s="70" t="s">
        <v>43</v>
      </c>
      <c r="N1" s="71"/>
      <c r="O1" s="71"/>
      <c r="P1" s="71"/>
    </row>
    <row r="2" spans="1:16" x14ac:dyDescent="0.25">
      <c r="A2" s="42" t="s">
        <v>28</v>
      </c>
      <c r="B2" s="20" t="s">
        <v>14</v>
      </c>
      <c r="C2" s="21" t="s">
        <v>7</v>
      </c>
      <c r="D2" s="22">
        <v>91</v>
      </c>
      <c r="E2" s="43">
        <v>0.47361111111111115</v>
      </c>
      <c r="F2" s="24">
        <v>3.88</v>
      </c>
      <c r="G2" s="22">
        <v>30</v>
      </c>
      <c r="H2" s="22">
        <v>13</v>
      </c>
      <c r="I2" s="44">
        <v>30</v>
      </c>
      <c r="J2" s="45">
        <v>641035</v>
      </c>
      <c r="K2" s="72" t="s">
        <v>44</v>
      </c>
      <c r="L2" s="72" t="s">
        <v>47</v>
      </c>
      <c r="M2" s="72" t="s">
        <v>49</v>
      </c>
    </row>
    <row r="3" spans="1:16" x14ac:dyDescent="0.25">
      <c r="A3" s="42" t="s">
        <v>29</v>
      </c>
      <c r="B3" s="20" t="s">
        <v>14</v>
      </c>
      <c r="C3" s="21" t="s">
        <v>7</v>
      </c>
      <c r="D3" s="22">
        <v>94</v>
      </c>
      <c r="E3" s="43">
        <v>0.47500000000000003</v>
      </c>
      <c r="F3" s="24">
        <v>7.5</v>
      </c>
      <c r="G3" s="22">
        <v>16</v>
      </c>
      <c r="H3" s="22">
        <v>1</v>
      </c>
      <c r="I3" s="44">
        <v>16</v>
      </c>
      <c r="J3" s="45">
        <v>641035</v>
      </c>
      <c r="K3" s="72" t="s">
        <v>45</v>
      </c>
      <c r="L3" s="72" t="s">
        <v>47</v>
      </c>
      <c r="M3" s="72" t="s">
        <v>50</v>
      </c>
    </row>
    <row r="4" spans="1:16" x14ac:dyDescent="0.25">
      <c r="A4" s="42" t="s">
        <v>30</v>
      </c>
      <c r="B4" s="20" t="s">
        <v>14</v>
      </c>
      <c r="C4" s="25" t="s">
        <v>25</v>
      </c>
      <c r="D4" s="22">
        <v>99</v>
      </c>
      <c r="E4" s="43">
        <v>0.4826388888888889</v>
      </c>
      <c r="F4" s="24">
        <v>8.8699999999999992</v>
      </c>
      <c r="G4" s="22">
        <v>21</v>
      </c>
      <c r="H4" s="22">
        <v>81</v>
      </c>
      <c r="I4" s="44">
        <v>81</v>
      </c>
      <c r="J4" s="45">
        <v>641107</v>
      </c>
      <c r="K4" s="72" t="s">
        <v>45</v>
      </c>
      <c r="L4" s="72" t="s">
        <v>48</v>
      </c>
      <c r="M4" s="72" t="s">
        <v>46</v>
      </c>
    </row>
    <row r="5" spans="1:16" x14ac:dyDescent="0.25">
      <c r="A5" s="42" t="s">
        <v>31</v>
      </c>
      <c r="B5" s="20" t="s">
        <v>14</v>
      </c>
      <c r="C5" s="21" t="s">
        <v>5</v>
      </c>
      <c r="D5" s="22">
        <v>100</v>
      </c>
      <c r="E5" s="43">
        <v>0.51388888888888895</v>
      </c>
      <c r="F5" s="24">
        <v>42.06</v>
      </c>
      <c r="G5" s="22">
        <v>30</v>
      </c>
      <c r="H5" s="22">
        <v>42</v>
      </c>
      <c r="I5" s="44">
        <v>42</v>
      </c>
      <c r="J5" s="45">
        <v>638459</v>
      </c>
      <c r="K5" s="72" t="s">
        <v>44</v>
      </c>
      <c r="L5" s="72" t="s">
        <v>47</v>
      </c>
      <c r="M5" s="72" t="s">
        <v>50</v>
      </c>
    </row>
    <row r="6" spans="1:16" x14ac:dyDescent="0.25">
      <c r="A6" s="42" t="s">
        <v>32</v>
      </c>
      <c r="B6" s="20" t="s">
        <v>14</v>
      </c>
      <c r="C6" s="25" t="s">
        <v>9</v>
      </c>
      <c r="D6" s="22">
        <v>93</v>
      </c>
      <c r="E6" s="43">
        <v>0.51597222222222217</v>
      </c>
      <c r="F6" s="24">
        <v>44.17</v>
      </c>
      <c r="G6" s="22"/>
      <c r="H6" s="22">
        <v>38</v>
      </c>
      <c r="I6" s="44">
        <v>38</v>
      </c>
      <c r="J6" s="45">
        <v>638459</v>
      </c>
      <c r="K6" s="72" t="s">
        <v>46</v>
      </c>
      <c r="L6" s="72" t="s">
        <v>48</v>
      </c>
      <c r="M6" s="72" t="s">
        <v>46</v>
      </c>
    </row>
    <row r="7" spans="1:16" x14ac:dyDescent="0.25">
      <c r="A7" s="42" t="s">
        <v>33</v>
      </c>
      <c r="B7" s="20" t="s">
        <v>14</v>
      </c>
      <c r="C7" s="25" t="s">
        <v>9</v>
      </c>
      <c r="D7" s="22">
        <v>100</v>
      </c>
      <c r="E7" s="43">
        <v>0.53194444444444444</v>
      </c>
      <c r="F7" s="24">
        <v>54.75</v>
      </c>
      <c r="G7" s="22"/>
      <c r="H7" s="22">
        <v>37</v>
      </c>
      <c r="I7" s="44">
        <v>37</v>
      </c>
      <c r="J7" s="45">
        <v>641655</v>
      </c>
      <c r="K7" s="72" t="s">
        <v>45</v>
      </c>
      <c r="L7" s="72" t="s">
        <v>47</v>
      </c>
      <c r="M7" s="72" t="s">
        <v>50</v>
      </c>
    </row>
    <row r="8" spans="1:16" x14ac:dyDescent="0.25">
      <c r="A8" s="42" t="s">
        <v>34</v>
      </c>
      <c r="B8" s="20" t="s">
        <v>14</v>
      </c>
      <c r="C8" s="21" t="s">
        <v>5</v>
      </c>
      <c r="D8" s="22">
        <v>97</v>
      </c>
      <c r="E8" s="43">
        <v>0.56041666666666667</v>
      </c>
      <c r="F8" s="24">
        <v>58.4</v>
      </c>
      <c r="G8" s="22">
        <v>50</v>
      </c>
      <c r="H8" s="22">
        <v>100</v>
      </c>
      <c r="I8" s="44">
        <v>100</v>
      </c>
      <c r="J8" s="45">
        <v>638459</v>
      </c>
      <c r="K8" s="72" t="s">
        <v>44</v>
      </c>
      <c r="L8" s="72" t="s">
        <v>46</v>
      </c>
      <c r="M8" s="72" t="s">
        <v>46</v>
      </c>
    </row>
    <row r="9" spans="1:16" x14ac:dyDescent="0.25">
      <c r="A9" s="46" t="s">
        <v>35</v>
      </c>
      <c r="B9" s="47" t="s">
        <v>14</v>
      </c>
      <c r="C9" s="48" t="s">
        <v>7</v>
      </c>
      <c r="D9" s="49">
        <v>94</v>
      </c>
      <c r="E9" s="50">
        <v>0.5625</v>
      </c>
      <c r="F9" s="51">
        <v>60.77</v>
      </c>
      <c r="G9" s="49">
        <v>39</v>
      </c>
      <c r="H9" s="49">
        <v>26</v>
      </c>
      <c r="I9" s="52">
        <v>26</v>
      </c>
      <c r="J9" s="53">
        <v>638459</v>
      </c>
      <c r="K9" s="72" t="s">
        <v>44</v>
      </c>
      <c r="L9" s="72" t="s">
        <v>48</v>
      </c>
      <c r="M9" s="72" t="s">
        <v>49</v>
      </c>
    </row>
    <row r="10" spans="1:16" x14ac:dyDescent="0.25">
      <c r="A10" s="74"/>
      <c r="B10" s="74"/>
      <c r="C10" s="74"/>
      <c r="D10" s="74"/>
      <c r="E10" s="75"/>
      <c r="F10" s="74"/>
      <c r="G10" s="74"/>
      <c r="H10" s="74"/>
      <c r="I10" s="74"/>
      <c r="J10" s="74"/>
      <c r="K10" s="74"/>
      <c r="L10" s="74"/>
      <c r="M10" s="74"/>
    </row>
    <row r="11" spans="1:16" x14ac:dyDescent="0.25">
      <c r="A11" s="74"/>
      <c r="B11" s="74"/>
      <c r="C11" s="74"/>
      <c r="D11" s="74"/>
      <c r="E11" s="75"/>
      <c r="F11" s="74"/>
      <c r="G11" s="74"/>
      <c r="H11" s="74"/>
      <c r="I11" s="74"/>
      <c r="J11" s="74"/>
      <c r="K11" s="74"/>
      <c r="L11" s="74"/>
      <c r="M11" s="74"/>
      <c r="N11" s="76"/>
    </row>
    <row r="12" spans="1:16" x14ac:dyDescent="0.25">
      <c r="A12" s="74"/>
      <c r="B12" s="74"/>
      <c r="C12" s="75"/>
      <c r="D12" s="77"/>
      <c r="E12" s="74"/>
      <c r="F12" s="74"/>
      <c r="G12" s="74"/>
      <c r="H12" s="74"/>
      <c r="I12" s="74"/>
      <c r="J12" s="74"/>
      <c r="K12" s="74"/>
      <c r="L12" s="74"/>
      <c r="M12" s="74"/>
    </row>
    <row r="13" spans="1:16" x14ac:dyDescent="0.25">
      <c r="A13" s="56" t="s">
        <v>24</v>
      </c>
      <c r="B13" s="57" t="s">
        <v>15</v>
      </c>
      <c r="C13" s="58" t="s">
        <v>16</v>
      </c>
      <c r="D13" s="59" t="s">
        <v>4</v>
      </c>
      <c r="E13" s="60" t="s">
        <v>17</v>
      </c>
      <c r="F13" s="61" t="s">
        <v>0</v>
      </c>
      <c r="G13" s="59" t="s">
        <v>27</v>
      </c>
      <c r="H13" s="59" t="s">
        <v>2</v>
      </c>
      <c r="I13" s="59" t="s">
        <v>26</v>
      </c>
      <c r="J13" s="62" t="s">
        <v>3</v>
      </c>
      <c r="K13" s="78" t="s">
        <v>41</v>
      </c>
      <c r="L13" s="78" t="s">
        <v>42</v>
      </c>
      <c r="M13" s="78" t="s">
        <v>43</v>
      </c>
    </row>
    <row r="14" spans="1:16" x14ac:dyDescent="0.25">
      <c r="A14" s="63" t="s">
        <v>34</v>
      </c>
      <c r="B14" s="64" t="str">
        <f>VLOOKUP(A14,Table8103[#All],2,FALSE)</f>
        <v>Red</v>
      </c>
      <c r="C14" s="79" t="str">
        <f>VLOOKUP(A14,Table8103[#All],3,FALSE)</f>
        <v>Over Speed</v>
      </c>
      <c r="D14" s="66">
        <f>VLOOKUP(A14,Table8103[#All],4,FALSE)</f>
        <v>97</v>
      </c>
      <c r="E14" s="67">
        <f>VLOOKUP(A14,Table8103[#All],5,FALSE)</f>
        <v>0.56041666666666667</v>
      </c>
      <c r="F14" s="66">
        <f>VLOOKUP(A14,Table8103[#All],6,FALSE)</f>
        <v>58.4</v>
      </c>
      <c r="G14" s="66">
        <f>VLOOKUP(A14,Table8103[#All],7,FALSE)</f>
        <v>50</v>
      </c>
      <c r="H14" s="66">
        <f>VLOOKUP(A14,Table8103[#All],8,FALSE)</f>
        <v>100</v>
      </c>
      <c r="I14" s="68">
        <f>VLOOKUP(A14,Table8103[#All],9,FALSE)</f>
        <v>100</v>
      </c>
      <c r="J14" s="69">
        <f>VLOOKUP(A14,Table8103[#All],10,FALSE)</f>
        <v>638459</v>
      </c>
      <c r="K14" s="80" t="str">
        <f>VLOOKUP(A14,Table81032[#All],11,FALSE)</f>
        <v>Anticipation</v>
      </c>
      <c r="L14" s="80" t="str">
        <f>VLOOKUP(A14,Table81032[#All],12,FALSE)</f>
        <v>Unknown</v>
      </c>
      <c r="M14" s="80" t="str">
        <f>VLOOKUP(A14,Table81032[#All],13,FALSE)</f>
        <v>Unknown</v>
      </c>
    </row>
  </sheetData>
  <conditionalFormatting sqref="A2:B9">
    <cfRule type="cellIs" dxfId="43" priority="1" operator="equal">
      <formula>"Red"</formula>
    </cfRule>
    <cfRule type="cellIs" dxfId="42" priority="2" operator="equal">
      <formula>"Amber"</formula>
    </cfRule>
    <cfRule type="cellIs" priority="3" operator="equal">
      <formula>"Amber"</formula>
    </cfRule>
    <cfRule type="cellIs" dxfId="41" priority="4" operator="equal">
      <formula>"Amber"</formula>
    </cfRule>
    <cfRule type="cellIs" dxfId="40" priority="5" operator="equal">
      <formula>"Blue"</formula>
    </cfRule>
  </conditionalFormatting>
  <dataValidations count="1">
    <dataValidation type="list" allowBlank="1" showInputMessage="1" showErrorMessage="1" sqref="A14" xr:uid="{1205832E-D6C1-47F0-B706-34D9BBDE891A}">
      <formula1>$A$2:$A$9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528E-7B1E-46B7-B730-643712CE3AD5}">
  <sheetPr codeName="Sheet7">
    <tabColor rgb="FFFFB9B9"/>
  </sheetPr>
  <dimension ref="B3:J38"/>
  <sheetViews>
    <sheetView topLeftCell="A7" workbookViewId="0">
      <selection activeCell="G22" sqref="G22"/>
    </sheetView>
  </sheetViews>
  <sheetFormatPr defaultRowHeight="15" x14ac:dyDescent="0.25"/>
  <cols>
    <col min="1" max="1" width="13.5703125" customWidth="1"/>
    <col min="2" max="10" width="13" customWidth="1"/>
    <col min="11" max="14" width="10.5703125" customWidth="1"/>
    <col min="15" max="15" width="11.140625" customWidth="1"/>
    <col min="16" max="16" width="10.5703125" customWidth="1"/>
    <col min="17" max="17" width="12" customWidth="1"/>
  </cols>
  <sheetData>
    <row r="3" spans="2:10" x14ac:dyDescent="0.25">
      <c r="C3" s="92" t="s">
        <v>40</v>
      </c>
      <c r="D3" s="93"/>
      <c r="E3" s="93"/>
      <c r="F3" s="93"/>
      <c r="G3" s="93"/>
      <c r="H3" s="93"/>
      <c r="I3" s="93"/>
      <c r="J3" s="94"/>
    </row>
    <row r="5" spans="2:10" x14ac:dyDescent="0.25">
      <c r="B5" s="82"/>
      <c r="C5" s="83" t="s">
        <v>7</v>
      </c>
      <c r="D5" s="83" t="s">
        <v>7</v>
      </c>
      <c r="E5" s="84" t="s">
        <v>25</v>
      </c>
      <c r="F5" s="83" t="s">
        <v>5</v>
      </c>
      <c r="G5" s="84" t="s">
        <v>9</v>
      </c>
      <c r="H5" s="84" t="s">
        <v>9</v>
      </c>
      <c r="I5" s="83" t="s">
        <v>5</v>
      </c>
      <c r="J5" s="83" t="s">
        <v>7</v>
      </c>
    </row>
    <row r="6" spans="2:10" x14ac:dyDescent="0.25">
      <c r="B6" s="85" t="s">
        <v>36</v>
      </c>
      <c r="C6" s="86">
        <v>91</v>
      </c>
      <c r="D6" s="86">
        <v>94</v>
      </c>
      <c r="E6" s="86">
        <v>99</v>
      </c>
      <c r="F6" s="86" t="s">
        <v>18</v>
      </c>
      <c r="G6" s="86" t="s">
        <v>18</v>
      </c>
      <c r="H6" s="86" t="s">
        <v>18</v>
      </c>
      <c r="I6" s="86" t="s">
        <v>18</v>
      </c>
      <c r="J6" s="86" t="s">
        <v>18</v>
      </c>
    </row>
    <row r="7" spans="2:10" x14ac:dyDescent="0.25">
      <c r="B7" s="85" t="s">
        <v>37</v>
      </c>
      <c r="C7" s="86" t="s">
        <v>18</v>
      </c>
      <c r="D7" s="86" t="s">
        <v>18</v>
      </c>
      <c r="E7" s="86" t="s">
        <v>18</v>
      </c>
      <c r="F7" s="86">
        <v>100</v>
      </c>
      <c r="G7" s="86">
        <v>93</v>
      </c>
      <c r="H7" s="86">
        <v>100</v>
      </c>
      <c r="I7" s="86" t="s">
        <v>18</v>
      </c>
      <c r="J7" s="86" t="s">
        <v>18</v>
      </c>
    </row>
    <row r="8" spans="2:10" x14ac:dyDescent="0.25">
      <c r="B8" s="85" t="s">
        <v>38</v>
      </c>
      <c r="C8" s="86" t="s">
        <v>18</v>
      </c>
      <c r="D8" s="86" t="s">
        <v>18</v>
      </c>
      <c r="E8" s="86" t="s">
        <v>18</v>
      </c>
      <c r="F8" s="86" t="s">
        <v>18</v>
      </c>
      <c r="G8" s="86" t="s">
        <v>18</v>
      </c>
      <c r="H8" s="86" t="s">
        <v>18</v>
      </c>
      <c r="I8" s="86">
        <v>97</v>
      </c>
      <c r="J8" s="86">
        <v>94</v>
      </c>
    </row>
    <row r="9" spans="2:10" x14ac:dyDescent="0.25">
      <c r="B9" s="82"/>
      <c r="C9" s="82"/>
      <c r="D9" s="82"/>
      <c r="E9" s="82"/>
      <c r="F9" s="82"/>
      <c r="G9" s="82"/>
      <c r="H9" s="82"/>
      <c r="I9" s="82"/>
      <c r="J9" s="82"/>
    </row>
    <row r="10" spans="2:10" x14ac:dyDescent="0.25">
      <c r="B10" s="82"/>
      <c r="C10" s="82"/>
      <c r="D10" s="82"/>
      <c r="E10" s="82"/>
      <c r="F10" s="82"/>
      <c r="G10" s="82"/>
      <c r="H10" s="82"/>
      <c r="I10" s="82"/>
      <c r="J10" s="82"/>
    </row>
    <row r="11" spans="2:10" x14ac:dyDescent="0.25">
      <c r="B11" s="82"/>
      <c r="C11" s="82"/>
      <c r="D11" s="82"/>
      <c r="E11" s="82"/>
      <c r="F11" s="82"/>
      <c r="G11" s="82"/>
      <c r="H11" s="82"/>
      <c r="I11" s="82"/>
      <c r="J11" s="82"/>
    </row>
    <row r="12" spans="2:10" x14ac:dyDescent="0.25">
      <c r="B12" s="82"/>
      <c r="C12" s="82"/>
      <c r="D12" s="82"/>
      <c r="E12" s="82"/>
      <c r="F12" s="82"/>
      <c r="G12" s="82"/>
      <c r="H12" s="82"/>
      <c r="I12" s="82"/>
      <c r="J12" s="82"/>
    </row>
    <row r="13" spans="2:10" x14ac:dyDescent="0.25">
      <c r="B13" s="81"/>
      <c r="C13" s="81"/>
      <c r="D13" s="81"/>
      <c r="E13" s="81"/>
      <c r="F13" s="81"/>
      <c r="G13" s="81"/>
      <c r="H13" s="81"/>
      <c r="I13" s="81"/>
      <c r="J13" s="81"/>
    </row>
    <row r="14" spans="2:10" x14ac:dyDescent="0.25">
      <c r="B14" s="81"/>
      <c r="C14" s="81"/>
      <c r="D14" s="81"/>
      <c r="E14" s="81"/>
      <c r="F14" s="81"/>
      <c r="G14" s="81"/>
      <c r="H14" s="81"/>
      <c r="I14" s="81"/>
      <c r="J14" s="81"/>
    </row>
    <row r="33" spans="4:8" x14ac:dyDescent="0.25">
      <c r="E33" s="92" t="s">
        <v>39</v>
      </c>
      <c r="F33" s="93"/>
      <c r="G33" s="93"/>
      <c r="H33" s="94"/>
    </row>
    <row r="35" spans="4:8" x14ac:dyDescent="0.25">
      <c r="E35" s="8" t="s">
        <v>7</v>
      </c>
      <c r="F35" s="8" t="s">
        <v>25</v>
      </c>
      <c r="G35" s="8" t="s">
        <v>5</v>
      </c>
      <c r="H35" s="8" t="s">
        <v>9</v>
      </c>
    </row>
    <row r="36" spans="4:8" x14ac:dyDescent="0.25">
      <c r="D36" s="7" t="s">
        <v>36</v>
      </c>
      <c r="E36" s="9">
        <v>2</v>
      </c>
      <c r="F36" s="9">
        <v>1</v>
      </c>
      <c r="G36" s="9">
        <v>0</v>
      </c>
      <c r="H36" s="9">
        <v>0</v>
      </c>
    </row>
    <row r="37" spans="4:8" x14ac:dyDescent="0.25">
      <c r="D37" s="7" t="s">
        <v>37</v>
      </c>
      <c r="E37" s="9">
        <v>0</v>
      </c>
      <c r="F37" s="9">
        <v>0</v>
      </c>
      <c r="G37" s="9">
        <v>1</v>
      </c>
      <c r="H37" s="9">
        <v>2</v>
      </c>
    </row>
    <row r="38" spans="4:8" x14ac:dyDescent="0.25">
      <c r="D38" s="7" t="s">
        <v>38</v>
      </c>
      <c r="E38" s="9">
        <v>1</v>
      </c>
      <c r="F38" s="9">
        <v>0</v>
      </c>
      <c r="G38" s="9">
        <v>1</v>
      </c>
      <c r="H38" s="9">
        <v>0</v>
      </c>
    </row>
  </sheetData>
  <mergeCells count="2">
    <mergeCell ref="E33:H33"/>
    <mergeCell ref="C3:J3"/>
  </mergeCells>
  <conditionalFormatting sqref="C6:J8">
    <cfRule type="cellIs" dxfId="3" priority="1" operator="equal">
      <formula>" - "</formula>
    </cfRule>
    <cfRule type="cellIs" dxfId="2" priority="2" operator="equal">
      <formula>" "</formula>
    </cfRule>
    <cfRule type="colorScale" priority="3">
      <colorScale>
        <cfvo type="min"/>
        <cfvo type="max"/>
        <color rgb="FFFFAFAF"/>
        <color rgb="FFFF4F4F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6CD47-244A-4158-A25D-856C459C8E9D}">
  <sheetPr codeName="Sheet10">
    <tabColor rgb="FFFFB9B9"/>
  </sheetPr>
  <dimension ref="B3:O20"/>
  <sheetViews>
    <sheetView showGridLines="0" zoomScaleNormal="100" workbookViewId="0">
      <selection activeCell="I17" sqref="I17"/>
    </sheetView>
  </sheetViews>
  <sheetFormatPr defaultRowHeight="15" x14ac:dyDescent="0.25"/>
  <cols>
    <col min="1" max="1" width="10.5703125" customWidth="1"/>
    <col min="2" max="2" width="13.7109375" customWidth="1"/>
    <col min="3" max="3" width="10.42578125" customWidth="1"/>
    <col min="4" max="5" width="12.5703125" customWidth="1"/>
    <col min="6" max="6" width="10.140625" customWidth="1"/>
    <col min="7" max="8" width="10.28515625" customWidth="1"/>
    <col min="9" max="9" width="10.140625" customWidth="1"/>
    <col min="10" max="10" width="12" customWidth="1"/>
    <col min="11" max="14" width="10.5703125" customWidth="1"/>
    <col min="15" max="15" width="11.140625" customWidth="1"/>
    <col min="16" max="16" width="10.5703125" customWidth="1"/>
    <col min="17" max="17" width="12" customWidth="1"/>
  </cols>
  <sheetData>
    <row r="3" spans="2:15" x14ac:dyDescent="0.25">
      <c r="C3" s="92" t="s">
        <v>40</v>
      </c>
      <c r="D3" s="93"/>
      <c r="E3" s="93"/>
      <c r="F3" s="93"/>
      <c r="G3" s="93"/>
      <c r="H3" s="93"/>
      <c r="I3" s="93"/>
      <c r="J3" s="94"/>
      <c r="L3" s="87"/>
      <c r="M3" s="87"/>
      <c r="N3" s="87"/>
      <c r="O3" s="87"/>
    </row>
    <row r="4" spans="2:15" x14ac:dyDescent="0.25">
      <c r="L4" s="87"/>
      <c r="M4" s="87"/>
      <c r="N4" s="87"/>
      <c r="O4" s="87"/>
    </row>
    <row r="5" spans="2:15" x14ac:dyDescent="0.25">
      <c r="B5" s="82"/>
      <c r="C5" s="83" t="s">
        <v>7</v>
      </c>
      <c r="D5" s="83" t="s">
        <v>7</v>
      </c>
      <c r="E5" s="84" t="s">
        <v>25</v>
      </c>
      <c r="F5" s="83" t="s">
        <v>5</v>
      </c>
      <c r="G5" s="84" t="s">
        <v>9</v>
      </c>
      <c r="H5" s="84" t="s">
        <v>9</v>
      </c>
      <c r="I5" s="83" t="s">
        <v>5</v>
      </c>
      <c r="J5" s="83" t="s">
        <v>7</v>
      </c>
      <c r="L5" s="87"/>
      <c r="M5" s="87"/>
      <c r="N5" s="87"/>
      <c r="O5" s="87"/>
    </row>
    <row r="6" spans="2:15" x14ac:dyDescent="0.25">
      <c r="B6" s="85" t="s">
        <v>36</v>
      </c>
      <c r="C6" s="86">
        <v>91</v>
      </c>
      <c r="D6" s="86">
        <v>94</v>
      </c>
      <c r="E6" s="86">
        <v>99</v>
      </c>
      <c r="F6" s="86" t="s">
        <v>18</v>
      </c>
      <c r="G6" s="86" t="s">
        <v>18</v>
      </c>
      <c r="H6" s="86" t="s">
        <v>18</v>
      </c>
      <c r="I6" s="86" t="s">
        <v>18</v>
      </c>
      <c r="J6" s="86" t="s">
        <v>18</v>
      </c>
      <c r="L6" s="87"/>
      <c r="M6" s="87"/>
      <c r="N6" s="87"/>
      <c r="O6" s="87"/>
    </row>
    <row r="7" spans="2:15" x14ac:dyDescent="0.25">
      <c r="B7" s="85" t="s">
        <v>37</v>
      </c>
      <c r="C7" s="86" t="s">
        <v>18</v>
      </c>
      <c r="D7" s="86" t="s">
        <v>18</v>
      </c>
      <c r="E7" s="86" t="s">
        <v>18</v>
      </c>
      <c r="F7" s="86">
        <v>100</v>
      </c>
      <c r="G7" s="86">
        <v>93</v>
      </c>
      <c r="H7" s="86">
        <v>100</v>
      </c>
      <c r="I7" s="86" t="s">
        <v>18</v>
      </c>
      <c r="J7" s="86" t="s">
        <v>18</v>
      </c>
      <c r="L7" s="87"/>
      <c r="M7" s="87"/>
      <c r="N7" s="87"/>
      <c r="O7" s="87"/>
    </row>
    <row r="8" spans="2:15" x14ac:dyDescent="0.25">
      <c r="B8" s="85" t="s">
        <v>38</v>
      </c>
      <c r="C8" s="86" t="s">
        <v>18</v>
      </c>
      <c r="D8" s="86" t="s">
        <v>18</v>
      </c>
      <c r="E8" s="86" t="s">
        <v>18</v>
      </c>
      <c r="F8" s="86" t="s">
        <v>18</v>
      </c>
      <c r="G8" s="86" t="s">
        <v>18</v>
      </c>
      <c r="H8" s="86" t="s">
        <v>18</v>
      </c>
      <c r="I8" s="86">
        <v>97</v>
      </c>
      <c r="J8" s="86">
        <v>94</v>
      </c>
      <c r="L8" s="87"/>
      <c r="M8" s="87"/>
      <c r="N8" s="87"/>
      <c r="O8" s="87"/>
    </row>
    <row r="9" spans="2:15" x14ac:dyDescent="0.25">
      <c r="B9" s="82"/>
      <c r="C9" s="82"/>
      <c r="D9" s="82"/>
      <c r="E9" s="82"/>
      <c r="F9" s="82"/>
      <c r="G9" s="82"/>
      <c r="H9" s="82"/>
      <c r="I9" s="82"/>
      <c r="J9" s="82"/>
      <c r="L9" s="87"/>
      <c r="M9" s="87"/>
      <c r="N9" s="87"/>
      <c r="O9" s="87"/>
    </row>
    <row r="10" spans="2:15" x14ac:dyDescent="0.25">
      <c r="B10" s="82"/>
      <c r="C10" s="82"/>
      <c r="D10" s="82"/>
      <c r="E10" s="82"/>
      <c r="F10" s="82"/>
      <c r="G10" s="82"/>
      <c r="H10" s="82"/>
      <c r="I10" s="82"/>
      <c r="J10" s="82"/>
      <c r="L10" s="87"/>
      <c r="M10" s="87"/>
      <c r="N10" s="87"/>
      <c r="O10" s="87"/>
    </row>
    <row r="11" spans="2:15" x14ac:dyDescent="0.25">
      <c r="B11" s="82"/>
      <c r="C11" s="82"/>
      <c r="D11" s="82"/>
      <c r="E11" s="82"/>
      <c r="F11" s="82"/>
      <c r="G11" s="82"/>
      <c r="H11" s="82"/>
      <c r="I11" s="82"/>
      <c r="J11" s="82"/>
      <c r="L11" s="87"/>
      <c r="M11" s="87"/>
      <c r="N11" s="87"/>
      <c r="O11" s="87"/>
    </row>
    <row r="12" spans="2:15" x14ac:dyDescent="0.25">
      <c r="B12" s="82"/>
      <c r="C12" s="82"/>
      <c r="D12" s="82"/>
      <c r="E12" s="82"/>
      <c r="F12" s="82"/>
      <c r="G12" s="82"/>
      <c r="H12" s="82"/>
      <c r="I12" s="82"/>
      <c r="J12" s="82"/>
      <c r="L12" s="87"/>
      <c r="M12" s="87"/>
      <c r="N12" s="87"/>
      <c r="O12" s="87"/>
    </row>
    <row r="13" spans="2:15" x14ac:dyDescent="0.25">
      <c r="B13" s="81"/>
      <c r="C13" s="81"/>
      <c r="D13" s="81"/>
      <c r="E13" s="81"/>
      <c r="F13" s="81"/>
      <c r="G13" s="81"/>
      <c r="H13" s="81"/>
      <c r="I13" s="81"/>
      <c r="J13" s="81"/>
      <c r="L13" s="87"/>
      <c r="M13" s="87"/>
      <c r="N13" s="87"/>
      <c r="O13" s="87"/>
    </row>
    <row r="14" spans="2:15" x14ac:dyDescent="0.25">
      <c r="B14" s="81"/>
      <c r="C14" s="81"/>
      <c r="D14" s="81"/>
      <c r="E14" s="81"/>
      <c r="F14" s="81"/>
      <c r="G14" s="81"/>
      <c r="H14" s="81"/>
      <c r="I14" s="81"/>
      <c r="J14" s="81"/>
      <c r="L14" s="87"/>
      <c r="M14" s="87"/>
      <c r="N14" s="87"/>
      <c r="O14" s="87"/>
    </row>
    <row r="15" spans="2:15" x14ac:dyDescent="0.25">
      <c r="L15" s="87"/>
      <c r="M15" s="87"/>
      <c r="N15" s="87"/>
      <c r="O15" s="87"/>
    </row>
    <row r="16" spans="2:15" x14ac:dyDescent="0.25">
      <c r="L16" s="87"/>
      <c r="M16" s="87"/>
      <c r="N16" s="87"/>
      <c r="O16" s="87"/>
    </row>
    <row r="17" spans="12:15" x14ac:dyDescent="0.25">
      <c r="L17" s="87"/>
      <c r="M17" s="87"/>
      <c r="N17" s="87"/>
      <c r="O17" s="87"/>
    </row>
    <row r="18" spans="12:15" x14ac:dyDescent="0.25">
      <c r="L18" s="87"/>
      <c r="M18" s="87"/>
      <c r="N18" s="87"/>
      <c r="O18" s="87"/>
    </row>
    <row r="19" spans="12:15" x14ac:dyDescent="0.25">
      <c r="L19" s="87"/>
      <c r="M19" s="87"/>
      <c r="N19" s="87"/>
      <c r="O19" s="87"/>
    </row>
    <row r="20" spans="12:15" x14ac:dyDescent="0.25">
      <c r="L20" s="87"/>
      <c r="M20" s="87"/>
      <c r="N20" s="87"/>
      <c r="O20" s="87"/>
    </row>
  </sheetData>
  <mergeCells count="1">
    <mergeCell ref="C3:J3"/>
  </mergeCells>
  <conditionalFormatting sqref="C6:J8">
    <cfRule type="cellIs" dxfId="1" priority="1" operator="equal">
      <formula>" - "</formula>
    </cfRule>
    <cfRule type="cellIs" dxfId="0" priority="2" operator="equal">
      <formula>" "</formula>
    </cfRule>
    <cfRule type="colorScale" priority="3">
      <colorScale>
        <cfvo type="min"/>
        <cfvo type="max"/>
        <color rgb="FFFFAFAF"/>
        <color rgb="FFFF4F4F"/>
      </colorScale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L1">
          <controlPr defaultSize="0" autoLine="0" r:id="rId5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3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10242" r:id="rId4" name="L1"/>
      </mc:Fallback>
    </mc:AlternateContent>
    <mc:AlternateContent xmlns:mc="http://schemas.openxmlformats.org/markup-compatibility/2006">
      <mc:Choice Requires="x14">
        <control shapeId="10243" r:id="rId6" name="L2">
          <controlPr defaultSize="0" autoLine="0" autoPict="0" r:id="rId7">
            <anchor moveWithCells="1">
              <from>
                <xdr:col>3</xdr:col>
                <xdr:colOff>28575</xdr:colOff>
                <xdr:row>5</xdr:row>
                <xdr:rowOff>9525</xdr:rowOff>
              </from>
              <to>
                <xdr:col>4</xdr:col>
                <xdr:colOff>0</xdr:colOff>
                <xdr:row>5</xdr:row>
                <xdr:rowOff>171450</xdr:rowOff>
              </to>
            </anchor>
          </controlPr>
        </control>
      </mc:Choice>
      <mc:Fallback>
        <control shapeId="10243" r:id="rId6" name="L2"/>
      </mc:Fallback>
    </mc:AlternateContent>
    <mc:AlternateContent xmlns:mc="http://schemas.openxmlformats.org/markup-compatibility/2006">
      <mc:Choice Requires="x14">
        <control shapeId="10244" r:id="rId8" name="L3">
          <controlPr defaultSize="0" autoLine="0" autoPict="0" r:id="rId9">
            <anchor moveWithCells="1">
              <from>
                <xdr:col>4</xdr:col>
                <xdr:colOff>9525</xdr:colOff>
                <xdr:row>5</xdr:row>
                <xdr:rowOff>19050</xdr:rowOff>
              </from>
              <to>
                <xdr:col>5</xdr:col>
                <xdr:colOff>9525</xdr:colOff>
                <xdr:row>5</xdr:row>
                <xdr:rowOff>161925</xdr:rowOff>
              </to>
            </anchor>
          </controlPr>
        </control>
      </mc:Choice>
      <mc:Fallback>
        <control shapeId="10244" r:id="rId8" name="L3"/>
      </mc:Fallback>
    </mc:AlternateContent>
    <mc:AlternateContent xmlns:mc="http://schemas.openxmlformats.org/markup-compatibility/2006">
      <mc:Choice Requires="x14">
        <control shapeId="10245" r:id="rId10" name="L4">
          <controlPr defaultSize="0" autoLine="0" autoPict="0" r:id="rId11">
            <anchor moveWithCells="1">
              <from>
                <xdr:col>5</xdr:col>
                <xdr:colOff>28575</xdr:colOff>
                <xdr:row>6</xdr:row>
                <xdr:rowOff>19050</xdr:rowOff>
              </from>
              <to>
                <xdr:col>6</xdr:col>
                <xdr:colOff>0</xdr:colOff>
                <xdr:row>6</xdr:row>
                <xdr:rowOff>171450</xdr:rowOff>
              </to>
            </anchor>
          </controlPr>
        </control>
      </mc:Choice>
      <mc:Fallback>
        <control shapeId="10245" r:id="rId10" name="L4"/>
      </mc:Fallback>
    </mc:AlternateContent>
    <mc:AlternateContent xmlns:mc="http://schemas.openxmlformats.org/markup-compatibility/2006">
      <mc:Choice Requires="x14">
        <control shapeId="10246" r:id="rId12" name="L5">
          <controlPr defaultSize="0" autoLine="0" r:id="rId13">
            <anchor moveWithCells="1">
              <from>
                <xdr:col>6</xdr:col>
                <xdr:colOff>0</xdr:colOff>
                <xdr:row>6</xdr:row>
                <xdr:rowOff>0</xdr:rowOff>
              </from>
              <to>
                <xdr:col>7</xdr:col>
                <xdr:colOff>0</xdr:colOff>
                <xdr:row>6</xdr:row>
                <xdr:rowOff>180975</xdr:rowOff>
              </to>
            </anchor>
          </controlPr>
        </control>
      </mc:Choice>
      <mc:Fallback>
        <control shapeId="10246" r:id="rId12" name="L5"/>
      </mc:Fallback>
    </mc:AlternateContent>
    <mc:AlternateContent xmlns:mc="http://schemas.openxmlformats.org/markup-compatibility/2006">
      <mc:Choice Requires="x14">
        <control shapeId="10247" r:id="rId14" name="L6">
          <controlPr defaultSize="0" autoLine="0" autoPict="0" r:id="rId15">
            <anchor moveWithCells="1">
              <from>
                <xdr:col>7</xdr:col>
                <xdr:colOff>9525</xdr:colOff>
                <xdr:row>6</xdr:row>
                <xdr:rowOff>0</xdr:rowOff>
              </from>
              <to>
                <xdr:col>8</xdr:col>
                <xdr:colOff>0</xdr:colOff>
                <xdr:row>6</xdr:row>
                <xdr:rowOff>171450</xdr:rowOff>
              </to>
            </anchor>
          </controlPr>
        </control>
      </mc:Choice>
      <mc:Fallback>
        <control shapeId="10247" r:id="rId14" name="L6"/>
      </mc:Fallback>
    </mc:AlternateContent>
    <mc:AlternateContent xmlns:mc="http://schemas.openxmlformats.org/markup-compatibility/2006">
      <mc:Choice Requires="x14">
        <control shapeId="10248" r:id="rId16" name="L7">
          <controlPr defaultSize="0" autoLine="0" autoPict="0" r:id="rId17">
            <anchor moveWithCells="1">
              <from>
                <xdr:col>8</xdr:col>
                <xdr:colOff>28575</xdr:colOff>
                <xdr:row>7</xdr:row>
                <xdr:rowOff>0</xdr:rowOff>
              </from>
              <to>
                <xdr:col>9</xdr:col>
                <xdr:colOff>0</xdr:colOff>
                <xdr:row>7</xdr:row>
                <xdr:rowOff>180975</xdr:rowOff>
              </to>
            </anchor>
          </controlPr>
        </control>
      </mc:Choice>
      <mc:Fallback>
        <control shapeId="10248" r:id="rId16" name="L7"/>
      </mc:Fallback>
    </mc:AlternateContent>
    <mc:AlternateContent xmlns:mc="http://schemas.openxmlformats.org/markup-compatibility/2006">
      <mc:Choice Requires="x14">
        <control shapeId="10249" r:id="rId18" name="L8">
          <controlPr defaultSize="0" autoLine="0" autoPict="0" r:id="rId19">
            <anchor moveWithCells="1">
              <from>
                <xdr:col>9</xdr:col>
                <xdr:colOff>9525</xdr:colOff>
                <xdr:row>7</xdr:row>
                <xdr:rowOff>9525</xdr:rowOff>
              </from>
              <to>
                <xdr:col>9</xdr:col>
                <xdr:colOff>790575</xdr:colOff>
                <xdr:row>7</xdr:row>
                <xdr:rowOff>171450</xdr:rowOff>
              </to>
            </anchor>
          </controlPr>
        </control>
      </mc:Choice>
      <mc:Fallback>
        <control shapeId="10249" r:id="rId18" name="L8"/>
      </mc:Fallback>
    </mc:AlternateContent>
    <mc:AlternateContent xmlns:mc="http://schemas.openxmlformats.org/markup-compatibility/2006">
      <mc:Choice Requires="x14">
        <control shapeId="10251" r:id="rId20" name="HideAll">
          <controlPr defaultSize="0" autoLine="0" r:id="rId21">
            <anchor moveWithCells="1">
              <from>
                <xdr:col>0</xdr:col>
                <xdr:colOff>238125</xdr:colOff>
                <xdr:row>0</xdr:row>
                <xdr:rowOff>152400</xdr:rowOff>
              </from>
              <to>
                <xdr:col>10</xdr:col>
                <xdr:colOff>257175</xdr:colOff>
                <xdr:row>10</xdr:row>
                <xdr:rowOff>85725</xdr:rowOff>
              </to>
            </anchor>
          </controlPr>
        </control>
      </mc:Choice>
      <mc:Fallback>
        <control shapeId="10251" r:id="rId20" name="HideAll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4CF3F-84B1-4A6E-8F37-6797A5FD8217}">
  <sheetPr>
    <tabColor theme="9" tint="0.59999389629810485"/>
  </sheetPr>
  <dimension ref="A1:H2"/>
  <sheetViews>
    <sheetView workbookViewId="0">
      <selection activeCell="G31" sqref="G31"/>
    </sheetView>
  </sheetViews>
  <sheetFormatPr defaultRowHeight="15" x14ac:dyDescent="0.25"/>
  <cols>
    <col min="1" max="1" width="12.5703125" bestFit="1" customWidth="1"/>
    <col min="2" max="2" width="17.140625" bestFit="1" customWidth="1"/>
    <col min="3" max="3" width="16" bestFit="1" customWidth="1"/>
    <col min="4" max="4" width="16.42578125" bestFit="1" customWidth="1"/>
    <col min="5" max="5" width="19.7109375" bestFit="1" customWidth="1"/>
    <col min="6" max="7" width="15.5703125" style="90" bestFit="1" customWidth="1"/>
    <col min="8" max="8" width="13.140625" bestFit="1" customWidth="1"/>
  </cols>
  <sheetData>
    <row r="1" spans="1:8" s="6" customFormat="1" x14ac:dyDescent="0.25">
      <c r="A1" s="88" t="s">
        <v>53</v>
      </c>
      <c r="B1" s="88" t="s">
        <v>54</v>
      </c>
      <c r="C1" s="88" t="s">
        <v>55</v>
      </c>
      <c r="D1" s="88" t="s">
        <v>44</v>
      </c>
      <c r="E1" s="88" t="s">
        <v>56</v>
      </c>
      <c r="F1" s="89" t="s">
        <v>57</v>
      </c>
      <c r="G1" s="89" t="s">
        <v>58</v>
      </c>
      <c r="H1" s="88" t="s">
        <v>59</v>
      </c>
    </row>
    <row r="2" spans="1:8" s="6" customFormat="1" x14ac:dyDescent="0.25">
      <c r="A2" s="6" t="s">
        <v>51</v>
      </c>
      <c r="B2" s="6">
        <v>81</v>
      </c>
      <c r="C2" s="6">
        <v>100</v>
      </c>
      <c r="D2" s="6">
        <v>84</v>
      </c>
      <c r="E2" s="6">
        <v>37</v>
      </c>
      <c r="F2" s="34">
        <v>0.4694444444444445</v>
      </c>
      <c r="G2" s="34">
        <v>0.57013888888888886</v>
      </c>
      <c r="H2" s="6" t="s">
        <v>52</v>
      </c>
    </row>
  </sheetData>
  <autoFilter ref="A1:H1" xr:uid="{6194CF3F-84B1-4A6E-8F37-6797A5FD8217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49A53-FBBC-4557-8527-D8A13C4BE5EF}">
  <sheetPr>
    <tabColor theme="9" tint="0.59999389629810485"/>
  </sheetPr>
  <dimension ref="L10"/>
  <sheetViews>
    <sheetView workbookViewId="0">
      <selection activeCell="L22" sqref="L22"/>
    </sheetView>
  </sheetViews>
  <sheetFormatPr defaultRowHeight="15" x14ac:dyDescent="0.25"/>
  <sheetData>
    <row r="10" spans="12:12" x14ac:dyDescent="0.25">
      <c r="L10" t="s">
        <v>60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Anitha rides </vt:lpstr>
      <vt:lpstr>lolli chart Data</vt:lpstr>
      <vt:lpstr>lolli chart</vt:lpstr>
      <vt:lpstr>Bubble chart data</vt:lpstr>
      <vt:lpstr>Bubble chart </vt:lpstr>
      <vt:lpstr>Hover_Bubble</vt:lpstr>
      <vt:lpstr>Heat map data</vt:lpstr>
      <vt:lpstr>Heat map</vt:lpstr>
      <vt:lpstr>Hover_Heat</vt:lpstr>
      <vt:lpstr>Radar graph data</vt:lpstr>
      <vt:lpstr>Radar graph</vt:lpstr>
      <vt:lpstr>Hover_Heat!Happy</vt:lpstr>
      <vt:lpstr>Happy</vt:lpstr>
      <vt:lpstr>tooltip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Lakshman N.</dc:creator>
  <cp:lastModifiedBy>Lakshman N.</cp:lastModifiedBy>
  <dcterms:created xsi:type="dcterms:W3CDTF">2023-01-24T05:07:20Z</dcterms:created>
  <dcterms:modified xsi:type="dcterms:W3CDTF">2023-02-07T07:02:54Z</dcterms:modified>
</cp:coreProperties>
</file>