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Single ride summary\"/>
    </mc:Choice>
  </mc:AlternateContent>
  <xr:revisionPtr revIDLastSave="0" documentId="13_ncr:1_{0DCF8CDC-DBB4-4D64-B21B-4259C6F29ED8}" xr6:coauthVersionLast="47" xr6:coauthVersionMax="47" xr10:uidLastSave="{00000000-0000-0000-0000-000000000000}"/>
  <bookViews>
    <workbookView xWindow="-120" yWindow="-120" windowWidth="21840" windowHeight="13740" tabRatio="839" activeTab="1" xr2:uid="{00000000-000D-0000-FFFF-FFFF00000000}"/>
  </bookViews>
  <sheets>
    <sheet name="All table" sheetId="38" r:id="rId1"/>
    <sheet name="Single Ride Summary" sheetId="41" r:id="rId2"/>
  </sheets>
  <definedNames>
    <definedName name="_xlnm._FilterDatabase" localSheetId="0" hidden="1">'All table'!$A$1:$J$78</definedName>
    <definedName name="Happy">#REF!</definedName>
    <definedName name="toolt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" i="38" l="1"/>
  <c r="Y23" i="38"/>
  <c r="Y24" i="38"/>
  <c r="Y25" i="38"/>
  <c r="Y26" i="38"/>
  <c r="Y27" i="38"/>
  <c r="Y28" i="38"/>
  <c r="Y21" i="38"/>
  <c r="X22" i="38"/>
  <c r="X23" i="38"/>
  <c r="X24" i="38"/>
  <c r="X25" i="38"/>
  <c r="X26" i="38"/>
  <c r="X27" i="38"/>
  <c r="X28" i="38"/>
  <c r="X21" i="38"/>
  <c r="W22" i="38"/>
  <c r="W23" i="38"/>
  <c r="W24" i="38"/>
  <c r="W25" i="38"/>
  <c r="W26" i="38"/>
  <c r="W27" i="38"/>
  <c r="W28" i="38"/>
  <c r="W21" i="38"/>
  <c r="V22" i="38"/>
  <c r="V23" i="38"/>
  <c r="V24" i="38"/>
  <c r="V25" i="38"/>
  <c r="V26" i="38"/>
  <c r="V27" i="38"/>
  <c r="V28" i="38"/>
  <c r="V21" i="38"/>
  <c r="O6" i="38"/>
  <c r="A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O2" i="38"/>
  <c r="J78" i="38"/>
  <c r="I78" i="38"/>
  <c r="A78" i="38"/>
  <c r="J77" i="38"/>
  <c r="I77" i="38"/>
  <c r="A77" i="38"/>
  <c r="J76" i="38"/>
  <c r="I76" i="38"/>
  <c r="A76" i="38"/>
  <c r="J75" i="38"/>
  <c r="I75" i="38"/>
  <c r="A75" i="38"/>
  <c r="J74" i="38"/>
  <c r="I74" i="38"/>
  <c r="A74" i="38"/>
  <c r="J73" i="38"/>
  <c r="I73" i="38"/>
  <c r="A73" i="38"/>
  <c r="J72" i="38"/>
  <c r="I72" i="38"/>
  <c r="A72" i="38"/>
  <c r="J71" i="38"/>
  <c r="I71" i="38"/>
  <c r="A71" i="38"/>
  <c r="J70" i="38"/>
  <c r="I70" i="38"/>
  <c r="A70" i="38"/>
  <c r="J69" i="38"/>
  <c r="I69" i="38"/>
  <c r="A69" i="38"/>
  <c r="J68" i="38"/>
  <c r="I68" i="38"/>
  <c r="A68" i="38"/>
  <c r="J67" i="38"/>
  <c r="I67" i="38"/>
  <c r="A67" i="38"/>
  <c r="J66" i="38"/>
  <c r="I66" i="38"/>
  <c r="A66" i="38"/>
  <c r="J65" i="38"/>
  <c r="I65" i="38"/>
  <c r="A65" i="38"/>
  <c r="J64" i="38"/>
  <c r="I64" i="38"/>
  <c r="A64" i="38"/>
  <c r="J63" i="38"/>
  <c r="I63" i="38"/>
  <c r="A63" i="38"/>
  <c r="J62" i="38"/>
  <c r="I62" i="38"/>
  <c r="A62" i="38"/>
  <c r="J61" i="38"/>
  <c r="I61" i="38"/>
  <c r="A61" i="38"/>
  <c r="J60" i="38"/>
  <c r="I60" i="38"/>
  <c r="A60" i="38"/>
  <c r="J59" i="38"/>
  <c r="I59" i="38"/>
  <c r="A59" i="38"/>
  <c r="J58" i="38"/>
  <c r="I58" i="38"/>
  <c r="A58" i="38"/>
  <c r="J57" i="38"/>
  <c r="I57" i="38"/>
  <c r="A57" i="38"/>
  <c r="J56" i="38"/>
  <c r="I56" i="38"/>
  <c r="A56" i="38"/>
  <c r="J55" i="38"/>
  <c r="I55" i="38"/>
  <c r="A55" i="38"/>
  <c r="J54" i="38"/>
  <c r="I54" i="38"/>
  <c r="A54" i="38"/>
  <c r="J53" i="38"/>
  <c r="I53" i="38"/>
  <c r="A53" i="38"/>
  <c r="J52" i="38"/>
  <c r="I52" i="38"/>
  <c r="A52" i="38"/>
  <c r="J51" i="38"/>
  <c r="I51" i="38"/>
  <c r="A51" i="38"/>
  <c r="J50" i="38"/>
  <c r="I50" i="38"/>
  <c r="A50" i="38"/>
  <c r="J49" i="38"/>
  <c r="I49" i="38"/>
  <c r="A49" i="38"/>
  <c r="J48" i="38"/>
  <c r="I48" i="38"/>
  <c r="A48" i="38"/>
  <c r="J47" i="38"/>
  <c r="I47" i="38"/>
  <c r="A47" i="38"/>
  <c r="J46" i="38"/>
  <c r="I46" i="38"/>
  <c r="A46" i="38"/>
  <c r="J45" i="38"/>
  <c r="I45" i="38"/>
  <c r="A45" i="38"/>
  <c r="J44" i="38"/>
  <c r="I44" i="38"/>
  <c r="A44" i="38"/>
  <c r="J43" i="38"/>
  <c r="I43" i="38"/>
  <c r="A43" i="38"/>
  <c r="J42" i="38"/>
  <c r="I42" i="38"/>
  <c r="A42" i="38"/>
  <c r="J41" i="38"/>
  <c r="I41" i="38"/>
  <c r="A41" i="38"/>
  <c r="J40" i="38"/>
  <c r="I40" i="38"/>
  <c r="A40" i="38"/>
  <c r="J39" i="38"/>
  <c r="I39" i="38"/>
  <c r="A39" i="38"/>
  <c r="J38" i="38"/>
  <c r="I38" i="38"/>
  <c r="A38" i="38"/>
  <c r="J37" i="38"/>
  <c r="I37" i="38"/>
  <c r="A37" i="38"/>
  <c r="J36" i="38"/>
  <c r="I36" i="38"/>
  <c r="A36" i="38"/>
  <c r="J35" i="38"/>
  <c r="I35" i="38"/>
  <c r="A35" i="38"/>
  <c r="J34" i="38"/>
  <c r="I34" i="38"/>
  <c r="A34" i="38"/>
  <c r="J33" i="38"/>
  <c r="I33" i="38"/>
  <c r="A33" i="38"/>
  <c r="J32" i="38"/>
  <c r="I32" i="38"/>
  <c r="A32" i="38"/>
  <c r="J31" i="38"/>
  <c r="I31" i="38"/>
  <c r="A31" i="38"/>
  <c r="J30" i="38"/>
  <c r="I30" i="38"/>
  <c r="A30" i="38"/>
  <c r="J29" i="38"/>
  <c r="I29" i="38"/>
  <c r="A29" i="38"/>
  <c r="J28" i="38"/>
  <c r="I28" i="38"/>
  <c r="A28" i="38"/>
  <c r="J27" i="38"/>
  <c r="I27" i="38"/>
  <c r="A27" i="38"/>
  <c r="J26" i="38"/>
  <c r="I26" i="38"/>
  <c r="A26" i="38"/>
  <c r="J25" i="38"/>
  <c r="I25" i="38"/>
  <c r="A25" i="38"/>
  <c r="J24" i="38"/>
  <c r="I24" i="38"/>
  <c r="A24" i="38"/>
  <c r="J23" i="38"/>
  <c r="I23" i="38"/>
  <c r="A23" i="38"/>
  <c r="J22" i="38"/>
  <c r="I22" i="38"/>
  <c r="A22" i="38"/>
  <c r="J21" i="38"/>
  <c r="I21" i="38"/>
  <c r="A21" i="38"/>
  <c r="J20" i="38"/>
  <c r="I20" i="38"/>
  <c r="A20" i="38"/>
  <c r="J19" i="38"/>
  <c r="I19" i="38"/>
  <c r="A19" i="38"/>
  <c r="J18" i="38"/>
  <c r="I18" i="38"/>
  <c r="A18" i="38"/>
  <c r="J17" i="38"/>
  <c r="I17" i="38"/>
  <c r="A17" i="38"/>
  <c r="J16" i="38"/>
  <c r="I16" i="38"/>
  <c r="A16" i="38"/>
  <c r="J15" i="38"/>
  <c r="I15" i="38"/>
  <c r="A15" i="38"/>
  <c r="J14" i="38"/>
  <c r="I14" i="38"/>
  <c r="J13" i="38"/>
  <c r="I13" i="38"/>
  <c r="A13" i="38"/>
  <c r="J12" i="38"/>
  <c r="I12" i="38"/>
  <c r="A12" i="38"/>
  <c r="J11" i="38"/>
  <c r="I11" i="38"/>
  <c r="A11" i="38"/>
  <c r="J10" i="38"/>
  <c r="I10" i="38"/>
  <c r="A10" i="38"/>
  <c r="J9" i="38"/>
  <c r="I9" i="38"/>
  <c r="A9" i="38"/>
  <c r="J8" i="38"/>
  <c r="I8" i="38"/>
  <c r="A8" i="38"/>
  <c r="J7" i="38"/>
  <c r="I7" i="38"/>
  <c r="A7" i="38"/>
  <c r="J6" i="38"/>
  <c r="I6" i="38"/>
  <c r="A6" i="38"/>
  <c r="J5" i="38"/>
  <c r="I5" i="38"/>
  <c r="A5" i="38"/>
  <c r="O4" i="38"/>
  <c r="J4" i="38"/>
  <c r="I4" i="38"/>
  <c r="A4" i="38"/>
  <c r="J3" i="38"/>
  <c r="I3" i="38"/>
  <c r="A3" i="38"/>
  <c r="J2" i="38"/>
  <c r="I2" i="38"/>
  <c r="A2" i="38"/>
</calcChain>
</file>

<file path=xl/sharedStrings.xml><?xml version="1.0" encoding="utf-8"?>
<sst xmlns="http://schemas.openxmlformats.org/spreadsheetml/2006/main" count="269" uniqueCount="64">
  <si>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</si>
  <si>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</si>
  <si>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</si>
  <si>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</si>
  <si>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</si>
  <si>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</si>
  <si>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</si>
  <si>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</si>
  <si>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</si>
  <si>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</si>
  <si>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</si>
  <si>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</si>
  <si>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</si>
  <si>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</si>
  <si>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</si>
  <si>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</si>
  <si>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</si>
  <si>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</si>
  <si>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</si>
  <si>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</si>
  <si>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</si>
  <si>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</si>
  <si>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</si>
  <si>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</si>
  <si>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</si>
  <si>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</si>
  <si>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</si>
  <si>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</si>
  <si>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</si>
  <si>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</si>
  <si>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</si>
  <si>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</si>
  <si>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</si>
  <si>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</si>
  <si>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</si>
  <si>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</si>
  <si>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</si>
  <si>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</si>
  <si>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</si>
  <si>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>RED RISK VALUES BY HOUR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</si>
  <si>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</si>
  <si>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</si>
  <si>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</si>
  <si>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</si>
  <si>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</si>
  <si>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</si>
  <si>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</si>
  <si>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</si>
  <si>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</si>
  <si>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</si>
  <si>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</si>
  <si>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</si>
  <si>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</si>
  <si>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</si>
  <si>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</si>
  <si>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</si>
  <si>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</si>
  <si>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</si>
  <si>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</si>
  <si>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>Total risk count</t>
  </si>
  <si>
    <t xml:space="preserve">NO OF RED ALERTS BY HOUR </t>
  </si>
  <si>
    <t>Normal</t>
  </si>
  <si>
    <t>Eco</t>
  </si>
  <si>
    <t>Sportive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</si>
</sst>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0">
    <xf numFmtId="0" fontId="0" fillId="0" borderId="0" xfId="0"/>
    <xf numFmtId="2" fontId="18" fillId="34" borderId="10" xfId="0" applyNumberFormat="1" applyFont="1" applyFill="1" applyBorder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/>
    </xf>
    <xf numFmtId="1" fontId="18" fillId="34" borderId="10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2" fontId="19" fillId="33" borderId="10" xfId="0" applyNumberFormat="1" applyFont="1" applyFill="1" applyBorder="1" applyAlignment="1">
      <alignment horizontal="left" vertical="center"/>
    </xf>
    <xf numFmtId="49" fontId="19" fillId="0" borderId="10" xfId="0" applyNumberFormat="1" applyFont="1" applyBorder="1" applyAlignment="1">
      <alignment horizontal="left" vertical="center" wrapText="1"/>
    </xf>
    <xf numFmtId="1" fontId="19" fillId="33" borderId="10" xfId="0" applyNumberFormat="1" applyFont="1" applyFill="1" applyBorder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 wrapText="1"/>
    </xf>
    <xf numFmtId="1" fontId="20" fillId="33" borderId="10" xfId="0" applyNumberFormat="1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left" vertical="center"/>
    </xf>
    <xf numFmtId="0" fontId="21" fillId="0" borderId="0" xfId="0" applyFont="1"/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1" fillId="36" borderId="10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2" fontId="20" fillId="34" borderId="13" xfId="0" applyNumberFormat="1" applyFont="1" applyFill="1" applyBorder="1" applyAlignment="1">
      <alignment horizontal="center" vertical="center"/>
    </xf>
    <xf numFmtId="2" fontId="20" fillId="34" borderId="14" xfId="0" applyNumberFormat="1" applyFont="1" applyFill="1" applyBorder="1" applyAlignment="1">
      <alignment horizontal="center" vertical="center"/>
    </xf>
    <xf numFmtId="49" fontId="20" fillId="34" borderId="14" xfId="0" applyNumberFormat="1" applyFont="1" applyFill="1" applyBorder="1" applyAlignment="1">
      <alignment horizontal="center" vertical="center"/>
    </xf>
    <xf numFmtId="1" fontId="20" fillId="34" borderId="14" xfId="0" applyNumberFormat="1" applyFont="1" applyFill="1" applyBorder="1" applyAlignment="1">
      <alignment horizontal="center" vertical="center"/>
    </xf>
    <xf numFmtId="165" fontId="20" fillId="34" borderId="14" xfId="0" applyNumberFormat="1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" fontId="20" fillId="34" borderId="15" xfId="0" applyNumberFormat="1" applyFont="1" applyFill="1" applyBorder="1" applyAlignment="1">
      <alignment horizontal="center" vertical="center"/>
    </xf>
    <xf numFmtId="1" fontId="20" fillId="33" borderId="11" xfId="0" applyNumberFormat="1" applyFont="1" applyFill="1" applyBorder="1" applyAlignment="1">
      <alignment horizontal="center" vertical="center"/>
    </xf>
    <xf numFmtId="165" fontId="20" fillId="33" borderId="10" xfId="0" applyNumberFormat="1" applyFont="1" applyFill="1" applyBorder="1" applyAlignment="1">
      <alignment horizontal="center" vertical="center"/>
    </xf>
    <xf numFmtId="1" fontId="20" fillId="39" borderId="10" xfId="0" applyNumberFormat="1" applyFont="1" applyFill="1" applyBorder="1" applyAlignment="1">
      <alignment horizontal="center" vertical="center"/>
    </xf>
    <xf numFmtId="1" fontId="20" fillId="33" borderId="12" xfId="0" applyNumberFormat="1" applyFont="1" applyFill="1" applyBorder="1" applyAlignment="1">
      <alignment horizontal="center" vertical="center"/>
    </xf>
    <xf numFmtId="1" fontId="20" fillId="33" borderId="16" xfId="0" applyNumberFormat="1" applyFont="1" applyFill="1" applyBorder="1" applyAlignment="1">
      <alignment horizontal="center" vertical="center"/>
    </xf>
    <xf numFmtId="2" fontId="20" fillId="33" borderId="17" xfId="0" applyNumberFormat="1" applyFont="1" applyFill="1" applyBorder="1" applyAlignment="1">
      <alignment horizontal="left" vertical="center"/>
    </xf>
    <xf numFmtId="49" fontId="20" fillId="0" borderId="17" xfId="0" applyNumberFormat="1" applyFont="1" applyBorder="1" applyAlignment="1">
      <alignment horizontal="left" vertical="center" wrapText="1"/>
    </xf>
    <xf numFmtId="1" fontId="20" fillId="33" borderId="17" xfId="0" applyNumberFormat="1" applyFont="1" applyFill="1" applyBorder="1" applyAlignment="1">
      <alignment horizontal="center" vertical="center"/>
    </xf>
    <xf numFmtId="165" fontId="20" fillId="33" borderId="17" xfId="0" applyNumberFormat="1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1" fontId="20" fillId="39" borderId="17" xfId="0" applyNumberFormat="1" applyFont="1" applyFill="1" applyBorder="1" applyAlignment="1">
      <alignment horizontal="center" vertical="center"/>
    </xf>
    <xf numFmtId="1" fontId="20" fillId="33" borderId="18" xfId="0" applyNumberFormat="1" applyFont="1" applyFill="1" applyBorder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36" borderId="17" xfId="0" applyFont="1" applyFill="1" applyBorder="1" applyAlignment="1">
      <alignment horizontal="left" vertical="center"/>
    </xf>
    <xf numFmtId="0" fontId="23" fillId="0" borderId="17" xfId="0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0" fontId="23" fillId="39" borderId="17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/>
    <xf numFmtId="165" fontId="23" fillId="0" borderId="0" xfId="0" applyNumberFormat="1" applyFont="1"/>
    <xf numFmtId="165" fontId="23" fillId="0" borderId="0" xfId="0" applyNumberFormat="1" applyFont="1" applyAlignment="1">
      <alignment horizontal="center"/>
    </xf>
    <xf numFmtId="1" fontId="22" fillId="34" borderId="20" xfId="0" applyNumberFormat="1" applyFont="1" applyFill="1" applyBorder="1" applyAlignment="1">
      <alignment horizontal="center" vertical="center"/>
    </xf>
    <xf numFmtId="0" fontId="23" fillId="0" borderId="17" xfId="0" applyFont="1" applyBorder="1"/>
    <xf numFmtId="0" fontId="20" fillId="0" borderId="21" xfId="0" applyFont="1" applyBorder="1" applyAlignment="1">
      <alignment horizontal="center" vertical="center"/>
    </xf>
    <xf numFmtId="0" fontId="24" fillId="0" borderId="0" xfId="0" applyFont="1"/>
    <xf numFmtId="49" fontId="24" fillId="41" borderId="10" xfId="0" applyNumberFormat="1" applyFont="1" applyFill="1" applyBorder="1" applyAlignment="1">
      <alignment horizontal="center" vertical="center" wrapText="1"/>
    </xf>
    <xf numFmtId="49" fontId="24" fillId="41" borderId="10" xfId="0" applyNumberFormat="1" applyFont="1" applyFill="1" applyBorder="1" applyAlignment="1">
      <alignment horizontal="center" vertical="center"/>
    </xf>
    <xf numFmtId="165" fontId="24" fillId="41" borderId="10" xfId="0" applyNumberFormat="1" applyFont="1" applyFill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0" xfId="0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9" borderId="1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10" xfId="0" applyFont="1" applyBorder="1"/>
    <xf numFmtId="0" fontId="0" fillId="0" borderId="10" xfId="0" applyBorder="1"/>
    <xf numFmtId="0" fontId="19" fillId="0" borderId="11" xfId="0" applyFont="1" applyBorder="1"/>
    <xf numFmtId="1" fontId="20" fillId="33" borderId="26" xfId="0" applyNumberFormat="1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vertical="center"/>
    </xf>
    <xf numFmtId="49" fontId="20" fillId="0" borderId="10" xfId="0" applyNumberFormat="1" applyFont="1" applyBorder="1" applyAlignment="1">
      <alignment vertical="center" wrapText="1"/>
    </xf>
    <xf numFmtId="49" fontId="20" fillId="0" borderId="12" xfId="0" applyNumberFormat="1" applyFont="1" applyBorder="1" applyAlignment="1">
      <alignment vertical="center" wrapText="1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2" borderId="10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FF9797"/>
      <color rgb="FF2FC7CB"/>
      <color rgb="FFDF4121"/>
      <color rgb="FFFF5B5B"/>
      <color rgb="FFE4E4E4"/>
      <color rgb="FFC9C9C9"/>
      <color rgb="FFFF5D5D"/>
      <color rgb="FFFFCD3F"/>
      <color rgb="FF1DCD8A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/>
              <a:t>RED RISK</a:t>
            </a:r>
          </a:p>
        </c:rich>
      </c:tx>
      <c:layout>
        <c:manualLayout>
          <c:xMode val="edge"/>
          <c:yMode val="edge"/>
          <c:x val="0.4732134702044281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'All table'!$I$1</c:f>
              <c:strCache>
                <c:ptCount val="1"/>
                <c:pt idx="0">
                  <c:v>Red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6-4894-A213-BC01DE132F99}"/>
            </c:ext>
          </c:extLst>
        </c:ser>
        <c:ser>
          <c:idx val="1"/>
          <c:order val="1"/>
          <c:tx>
            <c:strRef>
              <c:f>'All table'!$J$1</c:f>
              <c:strCache>
                <c:ptCount val="1"/>
                <c:pt idx="0">
                  <c:v>Amber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6-4894-A213-BC01DE13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8675759"/>
        <c:axId val="888679919"/>
      </c:barChart>
      <c:lineChart>
        <c:grouping val="standard"/>
        <c:varyColors val="0"/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06-4894-A213-BC01DE132F99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'All table'!$J$2:$J$78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06-4894-A213-BC01DE13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8675759"/>
        <c:axId val="888679919"/>
      </c:lineChart>
      <c:catAx>
        <c:axId val="888675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888679919"/>
        <c:crosses val="autoZero"/>
        <c:auto val="1"/>
        <c:lblAlgn val="ctr"/>
        <c:lblOffset val="100"/>
        <c:noMultiLvlLbl val="0"/>
      </c:catAx>
      <c:valAx>
        <c:axId val="888679919"/>
        <c:scaling>
          <c:orientation val="minMax"/>
          <c:max val="1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75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1-4264-BF46-465E2932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A-4ACA-8283-E9ED9E6C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IN" b="1" i="1" u="sng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79254079254083E-2"/>
          <c:y val="0.14990343188233546"/>
          <c:w val="0.77980992236110358"/>
          <c:h val="0.80720277889792091"/>
        </c:manualLayout>
      </c:layout>
      <c:bubbleChart>
        <c:varyColors val="0"/>
        <c:ser>
          <c:idx val="0"/>
          <c:order val="0"/>
          <c:tx>
            <c:strRef>
              <c:f>'All table'!$V$19</c:f>
              <c:strCache>
                <c:ptCount val="1"/>
                <c:pt idx="0">
                  <c:v>Sudden Braking</c:v>
                </c:pt>
              </c:strCache>
            </c:strRef>
          </c:tx>
          <c:spPr>
            <a:solidFill>
              <a:srgbClr val="2FC7CB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6.3608236709874894E-2"/>
                  <c:y val="-7.7294709511874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6-40BB-A9B5-1D5D0102A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table'!$V$21:$V$28</c:f>
              <c:numCache>
                <c:formatCode>General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C76-40BB-A9B5-1D5D0102A0BE}"/>
            </c:ext>
          </c:extLst>
        </c:ser>
        <c:ser>
          <c:idx val="1"/>
          <c:order val="1"/>
          <c:tx>
            <c:strRef>
              <c:f>'All table'!$W$19</c:f>
              <c:strCache>
                <c:ptCount val="1"/>
                <c:pt idx="0">
                  <c:v>Force Acceleration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table'!$W$21:$W$28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C76-40BB-A9B5-1D5D0102A0BE}"/>
            </c:ext>
          </c:extLst>
        </c:ser>
        <c:ser>
          <c:idx val="2"/>
          <c:order val="2"/>
          <c:tx>
            <c:strRef>
              <c:f>'All table'!$X$19</c:f>
              <c:strCache>
                <c:ptCount val="1"/>
                <c:pt idx="0">
                  <c:v>Over Speed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table'!$X$21:$X$28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</c:v>
                </c:pt>
                <c:pt idx="4">
                  <c:v>#N/A</c:v>
                </c:pt>
                <c:pt idx="5">
                  <c:v>#N/A</c:v>
                </c:pt>
                <c:pt idx="6">
                  <c:v>97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8C76-40BB-A9B5-1D5D0102A0BE}"/>
            </c:ext>
          </c:extLst>
        </c:ser>
        <c:ser>
          <c:idx val="3"/>
          <c:order val="3"/>
          <c:tx>
            <c:strRef>
              <c:f>'All table'!$Y$19</c:f>
              <c:strCache>
                <c:ptCount val="1"/>
                <c:pt idx="0">
                  <c:v>Curve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table'!$Y$21:$Y$28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</c:v>
                </c:pt>
                <c:pt idx="5">
                  <c:v>100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8C76-40BB-A9B5-1D5D0102A0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303919"/>
        <c:axId val="1304335"/>
      </c:bubbleChart>
      <c:valAx>
        <c:axId val="1303919"/>
        <c:scaling>
          <c:orientation val="minMax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304335"/>
        <c:crosses val="autoZero"/>
        <c:crossBetween val="midCat"/>
      </c:valAx>
      <c:valAx>
        <c:axId val="1304335"/>
        <c:scaling>
          <c:orientation val="minMax"/>
          <c:max val="102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2.7922549551995652E-2"/>
              <c:y val="0.44502324001952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48364691961397"/>
          <c:y val="0.16366424395427562"/>
          <c:w val="0.14974869520620268"/>
          <c:h val="0.25804838770539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/>
              <a:t>RADAR</a:t>
            </a:r>
            <a:r>
              <a:rPr lang="en-IN" b="1" i="1" u="sng" baseline="0"/>
              <a:t> CHART</a:t>
            </a:r>
            <a:endParaRPr lang="en-IN" b="1" i="1" u="sng"/>
          </a:p>
        </c:rich>
      </c:tx>
      <c:layout>
        <c:manualLayout>
          <c:xMode val="edge"/>
          <c:yMode val="edge"/>
          <c:x val="0.42534504896104608"/>
          <c:y val="1.6064257028112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5103029973541094"/>
          <c:y val="0.20005439079151249"/>
          <c:w val="0.33334165156341872"/>
          <c:h val="0.71387313031654176"/>
        </c:manualLayout>
      </c:layout>
      <c:radarChart>
        <c:radarStyle val="marker"/>
        <c:varyColors val="0"/>
        <c:ser>
          <c:idx val="0"/>
          <c:order val="0"/>
          <c:spPr>
            <a:ln w="63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'All table'!$AH$1:$AK$1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'All table'!$AH$2:$AK$2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7-4122-A2D5-6A61F1E5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12847"/>
        <c:axId val="2013026991"/>
      </c:radarChart>
      <c:catAx>
        <c:axId val="201301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26991"/>
        <c:crosses val="autoZero"/>
        <c:auto val="1"/>
        <c:lblAlgn val="ctr"/>
        <c:lblOffset val="100"/>
        <c:noMultiLvlLbl val="0"/>
      </c:catAx>
      <c:valAx>
        <c:axId val="2013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1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4766891251996"/>
          <c:y val="0.32850322763708584"/>
          <c:w val="0.68916325459317584"/>
          <c:h val="0.546202028800453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6-44FC-82B8-8B87CBB1AD61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6-44FC-82B8-8B87CBB1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650043744528E-2"/>
          <c:y val="0.91499267410850749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32325006136823"/>
          <c:y val="0.39129129679751684"/>
          <c:w val="0.68554428897826625"/>
          <c:h val="0.554571570863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table'!$U$13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table'!$U$14</c:f>
              <c:numCache>
                <c:formatCode>General</c:formatCode>
                <c:ptCount val="1"/>
                <c:pt idx="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2-42AC-8174-294C798430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29967"/>
        <c:axId val="191043279"/>
      </c:barChart>
      <c:catAx>
        <c:axId val="191029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43279"/>
        <c:crosses val="autoZero"/>
        <c:auto val="1"/>
        <c:lblAlgn val="ctr"/>
        <c:lblOffset val="100"/>
        <c:noMultiLvlLbl val="0"/>
      </c:catAx>
      <c:valAx>
        <c:axId val="1910432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2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D-4C19-86A2-958FC6DEB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8</xdr:row>
      <xdr:rowOff>104776</xdr:rowOff>
    </xdr:from>
    <xdr:to>
      <xdr:col>14</xdr:col>
      <xdr:colOff>1143000</xdr:colOff>
      <xdr:row>43</xdr:row>
      <xdr:rowOff>9526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705725" y="1628776"/>
          <a:ext cx="5657850" cy="6572250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 editAs="absolute">
    <xdr:from>
      <xdr:col>10</xdr:col>
      <xdr:colOff>200026</xdr:colOff>
      <xdr:row>35</xdr:row>
      <xdr:rowOff>57150</xdr:rowOff>
    </xdr:from>
    <xdr:to>
      <xdr:col>14</xdr:col>
      <xdr:colOff>1057275</xdr:colOff>
      <xdr:row>42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800976" y="6724650"/>
          <a:ext cx="5476874" cy="13620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(radar chart)</a:t>
          </a:r>
          <a:endParaRPr lang="en-IN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10</xdr:col>
      <xdr:colOff>190501</xdr:colOff>
      <xdr:row>16</xdr:row>
      <xdr:rowOff>104775</xdr:rowOff>
    </xdr:from>
    <xdr:to>
      <xdr:col>14</xdr:col>
      <xdr:colOff>1066800</xdr:colOff>
      <xdr:row>27</xdr:row>
      <xdr:rowOff>95250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91451" y="3152775"/>
          <a:ext cx="5495924" cy="20859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Driver has applied three sudden brakes in </a:t>
          </a:r>
          <a:r>
            <a:rPr lang="en-IN" sz="1000" b="0" i="0" baseline="0">
              <a:solidFill>
                <a:srgbClr val="FF0000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X,Y,Z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X,Y,Z).</a:t>
          </a:r>
          <a:endParaRPr lang="en-IN" sz="1000">
            <a:solidFill>
              <a:srgbClr val="FF0000"/>
            </a:solidFill>
            <a:effectLst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Applying sudden brakes are dangerous to both the rider and other drivers.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force accelerated the vehicle for straight 10 seconds from 21km/hr to 90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km/hr</a:t>
          </a:r>
        </a:p>
        <a:p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x) and (accident rate in India due to force acc)</a:t>
          </a:r>
          <a:endParaRPr lang="en-IN" sz="1000">
            <a:solidFill>
              <a:srgbClr val="FF0000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over speeded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the vehicle two times with a speed of 42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with a speed of 100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area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X,Y),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whereas the speed limit in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is 30 km/hr and in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is 50 km/hr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the accident rate in India due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to over speed).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RIDE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42 has two red alerts in curve. Where the rider has travelled at 37 km/hr in one curve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and at 38 km/hr in another curve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(Tell if possible by finding the curve's bank angle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give the optimum speed with which the curve needs to be travelled 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en-I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absolute">
    <xdr:from>
      <xdr:col>10</xdr:col>
      <xdr:colOff>190500</xdr:colOff>
      <xdr:row>28</xdr:row>
      <xdr:rowOff>9525</xdr:rowOff>
    </xdr:from>
    <xdr:to>
      <xdr:col>14</xdr:col>
      <xdr:colOff>1057274</xdr:colOff>
      <xdr:row>34</xdr:row>
      <xdr:rowOff>133350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91450" y="5343525"/>
          <a:ext cx="5486399" cy="12668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(tell about risk style,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driving state, driving style of every red risk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(try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to explain a pattern on how those three parameters vary within the red risks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force accelerated the vehicle at 11:35:00 AM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time in that area)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over speeded the vehicle two times at 12:20:00 PM and at 1:27:00 PM</a:t>
          </a:r>
        </a:p>
        <a:p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time in that area)</a:t>
          </a:r>
          <a:endParaRPr lang="en-IN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IN">
            <a:solidFill>
              <a:srgbClr val="FF0000"/>
            </a:solidFill>
            <a:effectLst/>
          </a:endParaRPr>
        </a:p>
        <a:p>
          <a:endParaRPr lang="en-IN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152400</xdr:colOff>
      <xdr:row>0</xdr:row>
      <xdr:rowOff>114300</xdr:rowOff>
    </xdr:from>
    <xdr:to>
      <xdr:col>10</xdr:col>
      <xdr:colOff>9525</xdr:colOff>
      <xdr:row>20</xdr:row>
      <xdr:rowOff>104775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104775</xdr:colOff>
      <xdr:row>0</xdr:row>
      <xdr:rowOff>114300</xdr:rowOff>
    </xdr:from>
    <xdr:to>
      <xdr:col>11</xdr:col>
      <xdr:colOff>1143001</xdr:colOff>
      <xdr:row>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1228726</xdr:colOff>
      <xdr:row>0</xdr:row>
      <xdr:rowOff>114300</xdr:rowOff>
    </xdr:from>
    <xdr:to>
      <xdr:col>13</xdr:col>
      <xdr:colOff>504827</xdr:colOff>
      <xdr:row>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21</xdr:row>
      <xdr:rowOff>19051</xdr:rowOff>
    </xdr:from>
    <xdr:to>
      <xdr:col>10</xdr:col>
      <xdr:colOff>9525</xdr:colOff>
      <xdr:row>38</xdr:row>
      <xdr:rowOff>66675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180975</xdr:colOff>
      <xdr:row>47</xdr:row>
      <xdr:rowOff>95250</xdr:rowOff>
    </xdr:from>
    <xdr:to>
      <xdr:col>9</xdr:col>
      <xdr:colOff>581026</xdr:colOff>
      <xdr:row>64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21</xdr:row>
          <xdr:rowOff>85725</xdr:rowOff>
        </xdr:from>
        <xdr:to>
          <xdr:col>9</xdr:col>
          <xdr:colOff>762000</xdr:colOff>
          <xdr:row>38</xdr:row>
          <xdr:rowOff>28575</xdr:rowOff>
        </xdr:to>
        <xdr:sp macro="" textlink="">
          <xdr:nvSpPr>
            <xdr:cNvPr id="19473" name="HideAll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34</xdr:row>
          <xdr:rowOff>38100</xdr:rowOff>
        </xdr:from>
        <xdr:to>
          <xdr:col>2</xdr:col>
          <xdr:colOff>428625</xdr:colOff>
          <xdr:row>35</xdr:row>
          <xdr:rowOff>9525</xdr:rowOff>
        </xdr:to>
        <xdr:sp macro="" textlink="">
          <xdr:nvSpPr>
            <xdr:cNvPr id="19465" name="L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30</xdr:row>
          <xdr:rowOff>38100</xdr:rowOff>
        </xdr:from>
        <xdr:to>
          <xdr:col>7</xdr:col>
          <xdr:colOff>381000</xdr:colOff>
          <xdr:row>33</xdr:row>
          <xdr:rowOff>38100</xdr:rowOff>
        </xdr:to>
        <xdr:sp macro="" textlink="">
          <xdr:nvSpPr>
            <xdr:cNvPr id="19466" name="L8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28</xdr:row>
          <xdr:rowOff>19050</xdr:rowOff>
        </xdr:from>
        <xdr:to>
          <xdr:col>6</xdr:col>
          <xdr:colOff>457200</xdr:colOff>
          <xdr:row>29</xdr:row>
          <xdr:rowOff>76200</xdr:rowOff>
        </xdr:to>
        <xdr:sp macro="" textlink="">
          <xdr:nvSpPr>
            <xdr:cNvPr id="19467" name="L7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24</xdr:row>
          <xdr:rowOff>28575</xdr:rowOff>
        </xdr:from>
        <xdr:to>
          <xdr:col>6</xdr:col>
          <xdr:colOff>85725</xdr:colOff>
          <xdr:row>27</xdr:row>
          <xdr:rowOff>47625</xdr:rowOff>
        </xdr:to>
        <xdr:sp macro="" textlink="">
          <xdr:nvSpPr>
            <xdr:cNvPr id="19468" name="L6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31</xdr:row>
          <xdr:rowOff>142875</xdr:rowOff>
        </xdr:from>
        <xdr:to>
          <xdr:col>5</xdr:col>
          <xdr:colOff>209550</xdr:colOff>
          <xdr:row>33</xdr:row>
          <xdr:rowOff>85725</xdr:rowOff>
        </xdr:to>
        <xdr:sp macro="" textlink="">
          <xdr:nvSpPr>
            <xdr:cNvPr id="19469" name="L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24</xdr:row>
          <xdr:rowOff>76200</xdr:rowOff>
        </xdr:from>
        <xdr:to>
          <xdr:col>4</xdr:col>
          <xdr:colOff>581025</xdr:colOff>
          <xdr:row>26</xdr:row>
          <xdr:rowOff>152400</xdr:rowOff>
        </xdr:to>
        <xdr:sp macro="" textlink="">
          <xdr:nvSpPr>
            <xdr:cNvPr id="19470" name="L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25</xdr:row>
          <xdr:rowOff>85725</xdr:rowOff>
        </xdr:from>
        <xdr:to>
          <xdr:col>4</xdr:col>
          <xdr:colOff>47625</xdr:colOff>
          <xdr:row>27</xdr:row>
          <xdr:rowOff>152400</xdr:rowOff>
        </xdr:to>
        <xdr:sp macro="" textlink="">
          <xdr:nvSpPr>
            <xdr:cNvPr id="19471" name="L3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30</xdr:row>
          <xdr:rowOff>161925</xdr:rowOff>
        </xdr:from>
        <xdr:to>
          <xdr:col>3</xdr:col>
          <xdr:colOff>257175</xdr:colOff>
          <xdr:row>32</xdr:row>
          <xdr:rowOff>76200</xdr:rowOff>
        </xdr:to>
        <xdr:sp macro="" textlink="">
          <xdr:nvSpPr>
            <xdr:cNvPr id="19472" name="L2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1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27</xdr:row>
      <xdr:rowOff>0</xdr:rowOff>
    </xdr:from>
    <xdr:to>
      <xdr:col>11</xdr:col>
      <xdr:colOff>476250</xdr:colOff>
      <xdr:row>41</xdr:row>
      <xdr:rowOff>152400</xdr:rowOff>
    </xdr:to>
    <xdr:graphicFrame macro="">
      <xdr:nvGraphicFramePr>
        <xdr:cNvPr id="6" name="Happy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104775</xdr:rowOff>
        </xdr:from>
        <xdr:to>
          <xdr:col>10</xdr:col>
          <xdr:colOff>104775</xdr:colOff>
          <xdr:row>47</xdr:row>
          <xdr:rowOff>123825</xdr:rowOff>
        </xdr:to>
        <xdr:sp macro="" textlink="">
          <xdr:nvSpPr>
            <xdr:cNvPr id="19482" name="HideAll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1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781050</xdr:colOff>
          <xdr:row>42</xdr:row>
          <xdr:rowOff>180975</xdr:rowOff>
        </xdr:to>
        <xdr:sp macro="" textlink="">
          <xdr:nvSpPr>
            <xdr:cNvPr id="19474" name="LL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9525</xdr:rowOff>
        </xdr:from>
        <xdr:to>
          <xdr:col>3</xdr:col>
          <xdr:colOff>781050</xdr:colOff>
          <xdr:row>43</xdr:row>
          <xdr:rowOff>0</xdr:rowOff>
        </xdr:to>
        <xdr:sp macro="" textlink="">
          <xdr:nvSpPr>
            <xdr:cNvPr id="19475" name="LL2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9525</xdr:rowOff>
        </xdr:from>
        <xdr:to>
          <xdr:col>4</xdr:col>
          <xdr:colOff>781050</xdr:colOff>
          <xdr:row>43</xdr:row>
          <xdr:rowOff>0</xdr:rowOff>
        </xdr:to>
        <xdr:sp macro="" textlink="">
          <xdr:nvSpPr>
            <xdr:cNvPr id="19476" name="LL3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781050</xdr:colOff>
          <xdr:row>43</xdr:row>
          <xdr:rowOff>180975</xdr:rowOff>
        </xdr:to>
        <xdr:sp macro="" textlink="">
          <xdr:nvSpPr>
            <xdr:cNvPr id="19477" name="LL4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781050</xdr:colOff>
          <xdr:row>43</xdr:row>
          <xdr:rowOff>180975</xdr:rowOff>
        </xdr:to>
        <xdr:sp macro="" textlink="">
          <xdr:nvSpPr>
            <xdr:cNvPr id="19478" name="LL5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9525</xdr:rowOff>
        </xdr:from>
        <xdr:to>
          <xdr:col>7</xdr:col>
          <xdr:colOff>781050</xdr:colOff>
          <xdr:row>44</xdr:row>
          <xdr:rowOff>0</xdr:rowOff>
        </xdr:to>
        <xdr:sp macro="" textlink="">
          <xdr:nvSpPr>
            <xdr:cNvPr id="19479" name="LL6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9525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9480" name="LL7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44</xdr:row>
          <xdr:rowOff>9525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9481" name="LL8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1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40</xdr:row>
      <xdr:rowOff>0</xdr:rowOff>
    </xdr:from>
    <xdr:to>
      <xdr:col>12</xdr:col>
      <xdr:colOff>685800</xdr:colOff>
      <xdr:row>57</xdr:row>
      <xdr:rowOff>142876</xdr:rowOff>
    </xdr:to>
    <xdr:graphicFrame macro="">
      <xdr:nvGraphicFramePr>
        <xdr:cNvPr id="16" name="Happy_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10</xdr:col>
      <xdr:colOff>190500</xdr:colOff>
      <xdr:row>11</xdr:row>
      <xdr:rowOff>152400</xdr:rowOff>
    </xdr:from>
    <xdr:to>
      <xdr:col>14</xdr:col>
      <xdr:colOff>1066801</xdr:colOff>
      <xdr:row>16</xdr:row>
      <xdr:rowOff>9525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791450" y="2247900"/>
          <a:ext cx="5495926" cy="8096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8 red risks among the total of 77 risk count.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more red risks in the alert type of Sudden Braking.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Among 8 red risks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your ride has two severe red alerts in one of the curves   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and in one of the speed limit zones.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581025</xdr:colOff>
      <xdr:row>0</xdr:row>
      <xdr:rowOff>114300</xdr:rowOff>
    </xdr:from>
    <xdr:to>
      <xdr:col>14</xdr:col>
      <xdr:colOff>1133476</xdr:colOff>
      <xdr:row>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10</xdr:col>
      <xdr:colOff>190500</xdr:colOff>
      <xdr:row>9</xdr:row>
      <xdr:rowOff>9525</xdr:rowOff>
    </xdr:from>
    <xdr:to>
      <xdr:col>14</xdr:col>
      <xdr:colOff>1066801</xdr:colOff>
      <xdr:row>11</xdr:row>
      <xdr:rowOff>57150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791450" y="1724025"/>
          <a:ext cx="5495926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tx1">
                  <a:lumMod val="75000"/>
                  <a:lumOff val="25000"/>
                </a:schemeClr>
              </a:solidFill>
            </a:rPr>
            <a:t>RIDE 42 SUMMARY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0.1608</cdr:x>
      <cdr:y>0.85265</cdr:y>
    </cdr:from>
    <cdr:to>
      <cdr:x>0.2276</cdr:x>
      <cdr:y>0.95505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2889A8C6-CA60-C095-099C-18BFCF613600}"/>
            </a:ext>
          </a:extLst>
        </cdr:cNvPr>
        <cdr:cNvSpPr txBox="1"/>
      </cdr:nvSpPr>
      <cdr:spPr>
        <a:xfrm xmlns:a="http://schemas.openxmlformats.org/drawingml/2006/main">
          <a:off x="1199237" y="2801914"/>
          <a:ext cx="498200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0.2346</cdr:x>
      <cdr:y>0.85265</cdr:y>
    </cdr:from>
    <cdr:to>
      <cdr:x>0.30013</cdr:x>
      <cdr:y>0.95505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18DAB36C-1737-04C8-4F07-A0451571D7DB}"/>
            </a:ext>
          </a:extLst>
        </cdr:cNvPr>
        <cdr:cNvSpPr txBox="1"/>
      </cdr:nvSpPr>
      <cdr:spPr>
        <a:xfrm xmlns:a="http://schemas.openxmlformats.org/drawingml/2006/main">
          <a:off x="1749654" y="2801914"/>
          <a:ext cx="48872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0.29368</cdr:x>
      <cdr:y>0.85535</cdr:y>
    </cdr:from>
    <cdr:to>
      <cdr:x>0.38697</cdr:x>
      <cdr:y>0.9335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9F501FA-2632-744C-E8A7-F472C6F5B239}"/>
            </a:ext>
          </a:extLst>
        </cdr:cNvPr>
        <cdr:cNvSpPr txBox="1"/>
      </cdr:nvSpPr>
      <cdr:spPr>
        <a:xfrm xmlns:a="http://schemas.openxmlformats.org/drawingml/2006/main">
          <a:off x="2190297" y="2810786"/>
          <a:ext cx="695777" cy="256811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0.37737</cdr:x>
      <cdr:y>0.85265</cdr:y>
    </cdr:from>
    <cdr:to>
      <cdr:x>0.44429</cdr:x>
      <cdr:y>0.95505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5C1100-935A-F690-08C2-9C72AE6C1617}"/>
            </a:ext>
          </a:extLst>
        </cdr:cNvPr>
        <cdr:cNvSpPr txBox="1"/>
      </cdr:nvSpPr>
      <cdr:spPr>
        <a:xfrm xmlns:a="http://schemas.openxmlformats.org/drawingml/2006/main">
          <a:off x="2814422" y="2801914"/>
          <a:ext cx="499094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0.45301</cdr:x>
      <cdr:y>0.85265</cdr:y>
    </cdr:from>
    <cdr:to>
      <cdr:x>0.50958</cdr:x>
      <cdr:y>0.95505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6BE1E79F-845D-7602-C386-E402C030ECB9}"/>
            </a:ext>
          </a:extLst>
        </cdr:cNvPr>
        <cdr:cNvSpPr txBox="1"/>
      </cdr:nvSpPr>
      <cdr:spPr>
        <a:xfrm xmlns:a="http://schemas.openxmlformats.org/drawingml/2006/main">
          <a:off x="3378583" y="2801914"/>
          <a:ext cx="421892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0.52371</cdr:x>
      <cdr:y>0.85265</cdr:y>
    </cdr:from>
    <cdr:to>
      <cdr:x>0.58365</cdr:x>
      <cdr:y>0.95505</cdr:y>
    </cdr:to>
    <cdr:sp macro="" textlink="">
      <cdr:nvSpPr>
        <cdr:cNvPr id="12" name="TextBox 6">
          <a:extLst xmlns:a="http://schemas.openxmlformats.org/drawingml/2006/main">
            <a:ext uri="{FF2B5EF4-FFF2-40B4-BE49-F238E27FC236}">
              <a16:creationId xmlns:a16="http://schemas.microsoft.com/office/drawing/2014/main" id="{E6829C2B-A6DA-B9B9-6D75-BDF16EF74F5B}"/>
            </a:ext>
          </a:extLst>
        </cdr:cNvPr>
        <cdr:cNvSpPr txBox="1"/>
      </cdr:nvSpPr>
      <cdr:spPr>
        <a:xfrm xmlns:a="http://schemas.openxmlformats.org/drawingml/2006/main">
          <a:off x="3905867" y="2801914"/>
          <a:ext cx="447057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0.5873</cdr:x>
      <cdr:y>0.85265</cdr:y>
    </cdr:from>
    <cdr:to>
      <cdr:x>0.64703</cdr:x>
      <cdr:y>0.95505</cdr:y>
    </cdr:to>
    <cdr:sp macro="" textlink="">
      <cdr:nvSpPr>
        <cdr:cNvPr id="13" name="TextBox 7">
          <a:extLst xmlns:a="http://schemas.openxmlformats.org/drawingml/2006/main">
            <a:ext uri="{FF2B5EF4-FFF2-40B4-BE49-F238E27FC236}">
              <a16:creationId xmlns:a16="http://schemas.microsoft.com/office/drawing/2014/main" id="{FF186E7B-FB68-8251-739B-F715BED3ABFB}"/>
            </a:ext>
          </a:extLst>
        </cdr:cNvPr>
        <cdr:cNvSpPr txBox="1"/>
      </cdr:nvSpPr>
      <cdr:spPr>
        <a:xfrm xmlns:a="http://schemas.openxmlformats.org/drawingml/2006/main">
          <a:off x="4380127" y="2801914"/>
          <a:ext cx="44547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0.65519</cdr:x>
      <cdr:y>0.85265</cdr:y>
    </cdr:from>
    <cdr:to>
      <cdr:x>0.72316</cdr:x>
      <cdr:y>0.95505</cdr:y>
    </cdr:to>
    <cdr:sp macro="" textlink="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36AB956A-67AB-DC0E-0639-A7B625D828BF}"/>
            </a:ext>
          </a:extLst>
        </cdr:cNvPr>
        <cdr:cNvSpPr txBox="1"/>
      </cdr:nvSpPr>
      <cdr:spPr>
        <a:xfrm xmlns:a="http://schemas.openxmlformats.org/drawingml/2006/main">
          <a:off x="4886456" y="2801914"/>
          <a:ext cx="506926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0.04131</cdr:x>
      <cdr:y>0.12489</cdr:y>
    </cdr:from>
    <cdr:to>
      <cdr:x>0.84626</cdr:x>
      <cdr:y>0.16532</cdr:y>
    </cdr:to>
    <cdr:sp macro="" textlink="">
      <cdr:nvSpPr>
        <cdr:cNvPr id="15" name="TextBox 19">
          <a:extLst xmlns:a="http://schemas.openxmlformats.org/drawingml/2006/main">
            <a:ext uri="{FF2B5EF4-FFF2-40B4-BE49-F238E27FC236}">
              <a16:creationId xmlns:a16="http://schemas.microsoft.com/office/drawing/2014/main" id="{B6ED96FC-8079-5A52-236C-33213B7C51C9}"/>
            </a:ext>
          </a:extLst>
        </cdr:cNvPr>
        <cdr:cNvSpPr txBox="1"/>
      </cdr:nvSpPr>
      <cdr:spPr>
        <a:xfrm xmlns:a="http://schemas.openxmlformats.org/drawingml/2006/main">
          <a:off x="365125" y="441325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  <cdr:relSizeAnchor xmlns:cdr="http://schemas.openxmlformats.org/drawingml/2006/chartDrawing">
    <cdr:from>
      <cdr:x>0.03484</cdr:x>
      <cdr:y>0.9416</cdr:y>
    </cdr:from>
    <cdr:to>
      <cdr:x>0.8398</cdr:x>
      <cdr:y>0.98203</cdr:y>
    </cdr:to>
    <cdr:sp macro="" textlink="">
      <cdr:nvSpPr>
        <cdr:cNvPr id="16" name="TextBox 19">
          <a:extLst xmlns:a="http://schemas.openxmlformats.org/drawingml/2006/main">
            <a:ext uri="{FF2B5EF4-FFF2-40B4-BE49-F238E27FC236}">
              <a16:creationId xmlns:a16="http://schemas.microsoft.com/office/drawing/2014/main" id="{065BBF20-C531-59F3-9586-B72EC35A3DA6}"/>
            </a:ext>
          </a:extLst>
        </cdr:cNvPr>
        <cdr:cNvSpPr txBox="1"/>
      </cdr:nvSpPr>
      <cdr:spPr>
        <a:xfrm xmlns:a="http://schemas.openxmlformats.org/drawingml/2006/main">
          <a:off x="307975" y="3327400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0.21959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54871" y="49057"/>
          <a:ext cx="1947658" cy="5700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90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</a:endParaRPr>
        </a:p>
        <a:p xmlns:a="http://schemas.openxmlformats.org/drawingml/2006/main">
          <a:r>
            <a:rPr lang="en-IN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Zipcode       :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0.08802</cdr:y>
    </cdr:from>
    <cdr:to>
      <cdr:x>0.95604</cdr:x>
      <cdr:y>0.13513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802612" y="2481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94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0.03043</cdr:y>
    </cdr:from>
    <cdr:to>
      <cdr:x>0.95604</cdr:x>
      <cdr:y>0.08108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802612" y="85795"/>
          <a:ext cx="1164345" cy="1428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Sudden Braking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0.14208</cdr:y>
    </cdr:from>
    <cdr:to>
      <cdr:x>0.95604</cdr:x>
      <cdr:y>0.18919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802612" y="4005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638459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0.01918</cdr:x>
      <cdr:y>0.01207</cdr:y>
    </cdr:from>
    <cdr:to>
      <cdr:x>0.98176</cdr:x>
      <cdr:y>0.30704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698069E-422E-DCE7-AF94-3F03ED34863F}"/>
            </a:ext>
          </a:extLst>
        </cdr:cNvPr>
        <cdr:cNvSpPr txBox="1"/>
      </cdr:nvSpPr>
      <cdr:spPr>
        <a:xfrm xmlns:a="http://schemas.openxmlformats.org/drawingml/2006/main">
          <a:off x="52797" y="40814"/>
          <a:ext cx="2649718" cy="99741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0.3381</cdr:x>
      <cdr:y>0.23465</cdr:y>
    </cdr:from>
    <cdr:to>
      <cdr:x>0.92494</cdr:x>
      <cdr:y>0.27643</cdr:y>
    </cdr:to>
    <cdr:sp macro="" textlink="'All table'!$AD$14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E6622733-EC72-9C3D-AD56-259BA984700F}"/>
            </a:ext>
          </a:extLst>
        </cdr:cNvPr>
        <cdr:cNvSpPr txBox="1"/>
      </cdr:nvSpPr>
      <cdr:spPr>
        <a:xfrm xmlns:a="http://schemas.openxmlformats.org/drawingml/2006/main">
          <a:off x="930696" y="793449"/>
          <a:ext cx="1615409" cy="14127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B21032-106E-43A3-88D1-27DC5A37DD1F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Sportive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0.18172</cdr:y>
    </cdr:from>
    <cdr:to>
      <cdr:x>0.92494</cdr:x>
      <cdr:y>0.22351</cdr:y>
    </cdr:to>
    <cdr:sp macro="" textlink="'All table'!$AC$14">
      <cdr:nvSpPr>
        <cdr:cNvPr id="13" name="TextBox 8">
          <a:extLst xmlns:a="http://schemas.openxmlformats.org/drawingml/2006/main">
            <a:ext uri="{FF2B5EF4-FFF2-40B4-BE49-F238E27FC236}">
              <a16:creationId xmlns:a16="http://schemas.microsoft.com/office/drawing/2014/main" id="{A4A2D27A-4454-82FC-5391-8E91B29B6FD1}"/>
            </a:ext>
          </a:extLst>
        </cdr:cNvPr>
        <cdr:cNvSpPr txBox="1"/>
      </cdr:nvSpPr>
      <cdr:spPr>
        <a:xfrm xmlns:a="http://schemas.openxmlformats.org/drawingml/2006/main">
          <a:off x="930696" y="614473"/>
          <a:ext cx="1615409" cy="14130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2F2B72C-8813-4CD4-9BA7-57C53026F989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Angry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0.12599</cdr:y>
    </cdr:from>
    <cdr:to>
      <cdr:x>0.92494</cdr:x>
      <cdr:y>0.17183</cdr:y>
    </cdr:to>
    <cdr:sp macro="" textlink="'All table'!$AB$14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153D1650-454F-46DA-EE3E-79153B8C611D}"/>
            </a:ext>
          </a:extLst>
        </cdr:cNvPr>
        <cdr:cNvSpPr txBox="1"/>
      </cdr:nvSpPr>
      <cdr:spPr>
        <a:xfrm xmlns:a="http://schemas.openxmlformats.org/drawingml/2006/main">
          <a:off x="930696" y="426005"/>
          <a:ext cx="1615409" cy="15502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2D13892-79E2-407D-9AFC-2A19E232D01B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Anticipation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0.02627</cdr:y>
    </cdr:from>
    <cdr:to>
      <cdr:x>0.92494</cdr:x>
      <cdr:y>0.06805</cdr:y>
    </cdr:to>
    <cdr:sp macro="" textlink="'All table'!$T$14">
      <cdr:nvSpPr>
        <cdr:cNvPr id="15" name="TextBox 6">
          <a:extLst xmlns:a="http://schemas.openxmlformats.org/drawingml/2006/main">
            <a:ext uri="{FF2B5EF4-FFF2-40B4-BE49-F238E27FC236}">
              <a16:creationId xmlns:a16="http://schemas.microsoft.com/office/drawing/2014/main" id="{74B9CF8B-BECB-C718-E47A-EC49C20BDE70}"/>
            </a:ext>
          </a:extLst>
        </cdr:cNvPr>
        <cdr:cNvSpPr txBox="1"/>
      </cdr:nvSpPr>
      <cdr:spPr>
        <a:xfrm xmlns:a="http://schemas.openxmlformats.org/drawingml/2006/main">
          <a:off x="895284" y="89832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8D48E8D-ABDE-4A14-B4DB-33B1CDDB83A8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Sudden Braking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0.07641</cdr:y>
    </cdr:from>
    <cdr:to>
      <cdr:x>0.92494</cdr:x>
      <cdr:y>0.11819</cdr:y>
    </cdr:to>
    <cdr:sp macro="" textlink="'All table'!$V$14">
      <cdr:nvSpPr>
        <cdr:cNvPr id="16" name="TextBox 8">
          <a:extLst xmlns:a="http://schemas.openxmlformats.org/drawingml/2006/main">
            <a:ext uri="{FF2B5EF4-FFF2-40B4-BE49-F238E27FC236}">
              <a16:creationId xmlns:a16="http://schemas.microsoft.com/office/drawing/2014/main" id="{843D34A6-F184-BC08-E7F6-03819184CA22}"/>
            </a:ext>
          </a:extLst>
        </cdr:cNvPr>
        <cdr:cNvSpPr txBox="1"/>
      </cdr:nvSpPr>
      <cdr:spPr>
        <a:xfrm xmlns:a="http://schemas.openxmlformats.org/drawingml/2006/main">
          <a:off x="895284" y="261285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C63CAFE-AA3B-4762-87A2-23B3E319DC2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01:30:00 PM</a:t>
          </a:fld>
          <a:endParaRPr lang="en-IN" sz="10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A5EB08-68F0-43EA-8142-775AB82B91CE}" name="Table810328" displayName="Table810328" ref="R1:AD9" totalsRowShown="0" headerRowDxfId="37" dataDxfId="35" headerRowBorderDxfId="36" tableBorderDxfId="34" totalsRowBorderDxfId="33">
  <autoFilter ref="R1:AD9" xr:uid="{A7A5EB08-68F0-43EA-8142-775AB82B91CE}"/>
  <tableColumns count="13">
    <tableColumn id="1" xr3:uid="{F98BB7E5-3898-43EC-9B04-0644AD39F3E9}" name="Red Alert id" dataDxfId="32"/>
    <tableColumn id="2" xr3:uid="{661869B3-93E9-4241-9778-AA442847400D}" name="Alert Severity" dataDxfId="31"/>
    <tableColumn id="3" xr3:uid="{8DF71597-7DC7-4A79-947A-2B02E0E044A6}" name="Alert Name" dataDxfId="30"/>
    <tableColumn id="4" xr3:uid="{D4BE5A44-393A-4346-B094-3ABC44257597}" name="Risk Value" dataDxfId="29"/>
    <tableColumn id="5" xr3:uid="{478390B3-A6C5-44DA-BE6D-2E258F78BCE5}" name="Time " dataDxfId="28"/>
    <tableColumn id="6" xr3:uid="{7738111C-CA31-436C-B370-FCE631DDBEEB}" name="Distance (Km)" dataDxfId="27"/>
    <tableColumn id="7" xr3:uid="{7C39AC8D-7E8C-4B17-82E8-1251A38B48E9}" name="SL/PS (Km/H)" dataDxfId="26"/>
    <tableColumn id="8" xr3:uid="{EEE9D320-A044-4650-8033-DB3215355063}" name="Speed" dataDxfId="25"/>
    <tableColumn id="9" xr3:uid="{04A4D0D2-8C13-4F79-BEB8-75B361D729F2}" name="Custom Speed" dataDxfId="24"/>
    <tableColumn id="10" xr3:uid="{0B38F726-BD3A-4C88-9A46-F9E816629875}" name="ZipCode" dataDxfId="23"/>
    <tableColumn id="11" xr3:uid="{86274278-B35F-4955-B7A9-1C7FFACF94A7}" name="Risk Style" dataDxfId="22"/>
    <tableColumn id="12" xr3:uid="{5E099142-C4E9-48DF-BB14-BBE1A773A47A}" name="Driver State" dataDxfId="21"/>
    <tableColumn id="13" xr3:uid="{031C9472-20E3-44A5-8A7E-9D5A414A1FEA}" name="Driving Style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235CC-75F2-42AE-87BB-0DFE900DDF3F}" name="Table104510" displayName="Table104510" ref="R13:AD14" totalsRowShown="0" headerRowDxfId="19" dataDxfId="17" headerRowBorderDxfId="18" tableBorderDxfId="16" totalsRowBorderDxfId="15">
  <autoFilter ref="R13:AD14" xr:uid="{C23235CC-75F2-42AE-87BB-0DFE900DDF3F}"/>
  <tableColumns count="13">
    <tableColumn id="1" xr3:uid="{FE8FA894-EA62-4D4B-A327-1F8E8E9F5B04}" name="Red Alert id" dataDxfId="14"/>
    <tableColumn id="2" xr3:uid="{AFCE7D60-5A2B-4AAC-B1CF-F6180E5EF06A}" name="Alert Severity" dataDxfId="13">
      <calculatedColumnFormula>VLOOKUP(R14,Table810328[#All],2,FALSE)</calculatedColumnFormula>
    </tableColumn>
    <tableColumn id="3" xr3:uid="{5012A30C-23EB-47BF-88BB-119FE8105B74}" name="Alert Name" dataDxfId="12">
      <calculatedColumnFormula>VLOOKUP(R14,Table810328[#All],3,FALSE)</calculatedColumnFormula>
    </tableColumn>
    <tableColumn id="4" xr3:uid="{8EF0C1DB-1E3A-4DD3-B8B8-D51D5AD4B736}" name="Risk Value" dataDxfId="11">
      <calculatedColumnFormula>VLOOKUP(R14,Table810328[#All],4,FALSE)</calculatedColumnFormula>
    </tableColumn>
    <tableColumn id="5" xr3:uid="{6FE52A0C-9A31-4458-AF98-EE17808A3755}" name="Time " dataDxfId="10">
      <calculatedColumnFormula>VLOOKUP(R14,Table810328[#All],5,FALSE)</calculatedColumnFormula>
    </tableColumn>
    <tableColumn id="6" xr3:uid="{0394F177-FAFB-4ADF-A952-00F1A8E0ABF6}" name="Distance (Km)" dataDxfId="9">
      <calculatedColumnFormula>VLOOKUP(R14,Table810328[#All],6,FALSE)</calculatedColumnFormula>
    </tableColumn>
    <tableColumn id="7" xr3:uid="{56F57670-05BD-4D4B-90B0-C083A1523B32}" name="P-Speed/S-Limit" dataDxfId="8">
      <calculatedColumnFormula>VLOOKUP(R14,Table810328[#All],7,FALSE)</calculatedColumnFormula>
    </tableColumn>
    <tableColumn id="8" xr3:uid="{68098955-244C-4B01-8D4D-850114FCD7F1}" name="Speed" dataDxfId="7">
      <calculatedColumnFormula>VLOOKUP(R14,Table810328[#All],8,FALSE)</calculatedColumnFormula>
    </tableColumn>
    <tableColumn id="9" xr3:uid="{10ACC17F-D006-444B-855E-E83ADC79DC5C}" name="Custom Speed" dataDxfId="6">
      <calculatedColumnFormula>VLOOKUP(R14,Table810328[#All],9,FALSE)</calculatedColumnFormula>
    </tableColumn>
    <tableColumn id="10" xr3:uid="{F646779F-4000-430E-A498-BA0BE2629A13}" name="ZipCode" dataDxfId="5">
      <calculatedColumnFormula>VLOOKUP(R14,Table810328[#All],10,FALSE)</calculatedColumnFormula>
    </tableColumn>
    <tableColumn id="11" xr3:uid="{C44DE96B-CE36-4676-A1E8-53FA0B83BE45}" name="Risk Style" dataDxfId="4">
      <calculatedColumnFormula>VLOOKUP(R14,Table810328[#All],11,FALSE)</calculatedColumnFormula>
    </tableColumn>
    <tableColumn id="12" xr3:uid="{6DB545F8-A502-4F12-8513-2B2A4685386D}" name="Driver State" dataDxfId="3">
      <calculatedColumnFormula>VLOOKUP(R14,Table810328[#All],12,FALSE)</calculatedColumnFormula>
    </tableColumn>
    <tableColumn id="13" xr3:uid="{BF4915DC-2C4B-4DC3-85C4-88CE2061ACF3}" name="Driving Style" dataDxfId="2">
      <calculatedColumnFormula>VLOOKUP(R14,Table810328[#All],13,FALSE)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C46D-CFCE-4F10-80AA-E3C6AB366073}">
  <sheetPr codeName="Sheet9">
    <tabColor theme="0" tint="-0.249977111117893"/>
  </sheetPr>
  <dimension ref="A1:AN78"/>
  <sheetViews>
    <sheetView showGridLines="0" topLeftCell="S1" zoomScaleNormal="100" workbookViewId="0">
      <selection activeCell="AD19" sqref="AD19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40</v>
      </c>
      <c r="AC1" s="56" t="s">
        <v>41</v>
      </c>
      <c r="AD1" s="56" t="s">
        <v>42</v>
      </c>
      <c r="AF1" s="72"/>
      <c r="AG1" s="74" t="s">
        <v>52</v>
      </c>
      <c r="AH1" s="74" t="s">
        <v>53</v>
      </c>
      <c r="AI1" s="74" t="s">
        <v>54</v>
      </c>
      <c r="AJ1" s="74" t="s">
        <v>43</v>
      </c>
      <c r="AK1" s="74" t="s">
        <v>55</v>
      </c>
      <c r="AL1" s="77" t="s">
        <v>56</v>
      </c>
      <c r="AM1" s="77" t="s">
        <v>57</v>
      </c>
      <c r="AN1" s="74" t="s">
        <v>58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43</v>
      </c>
      <c r="AC2" s="57" t="s">
        <v>46</v>
      </c>
      <c r="AD2" s="57" t="s">
        <v>45</v>
      </c>
      <c r="AF2" s="72"/>
      <c r="AG2" s="73" t="s">
        <v>50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51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44</v>
      </c>
      <c r="AC3" s="57" t="s">
        <v>46</v>
      </c>
      <c r="AD3" s="57" t="s">
        <v>61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44</v>
      </c>
      <c r="AC4" s="57" t="s">
        <v>47</v>
      </c>
      <c r="AD4" s="57" t="s">
        <v>49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59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43</v>
      </c>
      <c r="AC5" s="57" t="s">
        <v>46</v>
      </c>
      <c r="AD5" s="57" t="s">
        <v>48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45</v>
      </c>
      <c r="AC6" s="57" t="s">
        <v>47</v>
      </c>
      <c r="AD6" s="57" t="s">
        <v>62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44</v>
      </c>
      <c r="AC7" s="57" t="s">
        <v>46</v>
      </c>
      <c r="AD7" s="57" t="s">
        <v>49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43</v>
      </c>
      <c r="AC8" s="57" t="s">
        <v>45</v>
      </c>
      <c r="AD8" s="57" t="s">
        <v>62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43</v>
      </c>
      <c r="AC9" s="57" t="s">
        <v>47</v>
      </c>
      <c r="AD9" s="57" t="s">
        <v>63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40</v>
      </c>
      <c r="AC13" s="61" t="s">
        <v>41</v>
      </c>
      <c r="AD13" s="61" t="s">
        <v>42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35</v>
      </c>
      <c r="S14" s="51" t="str">
        <f>VLOOKUP(R14,Table810328[#All],2,FALSE)</f>
        <v>Red</v>
      </c>
      <c r="T14" s="62" t="str">
        <f>VLOOKUP(R14,Table810328[#All],3,FALSE)</f>
        <v>Sudden Braking</v>
      </c>
      <c r="U14" s="52">
        <f>VLOOKUP(R14,Table810328[#All],4,FALSE)</f>
        <v>94</v>
      </c>
      <c r="V14" s="53">
        <f>VLOOKUP(R14,Table810328[#All],5,FALSE)</f>
        <v>0.5625</v>
      </c>
      <c r="W14" s="52">
        <f>VLOOKUP(R14,Table810328[#All],6,FALSE)</f>
        <v>60.77</v>
      </c>
      <c r="X14" s="52">
        <f>VLOOKUP(R14,Table810328[#All],7,FALSE)</f>
        <v>39</v>
      </c>
      <c r="Y14" s="52">
        <f>VLOOKUP(R14,Table810328[#All],8,FALSE)</f>
        <v>26</v>
      </c>
      <c r="Z14" s="54">
        <f>VLOOKUP(R14,Table810328[#All],9,FALSE)</f>
        <v>26</v>
      </c>
      <c r="AA14" s="55">
        <f>VLOOKUP(R14,Table810328[#All],10,FALSE)</f>
        <v>638459</v>
      </c>
      <c r="AB14" s="63" t="str">
        <f>VLOOKUP(R14,Table810328[#All],11,FALSE)</f>
        <v>Anticipation</v>
      </c>
      <c r="AC14" s="63" t="str">
        <f>VLOOKUP(R14,Table810328[#All],12,FALSE)</f>
        <v>Angry</v>
      </c>
      <c r="AD14" s="63" t="str">
        <f>VLOOKUP(R14,Table810328[#All],13,FALSE)</f>
        <v>Sportive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5" t="s">
        <v>7</v>
      </c>
      <c r="W19" s="83" t="s">
        <v>25</v>
      </c>
      <c r="X19" s="84" t="s">
        <v>5</v>
      </c>
      <c r="Y19" s="83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80"/>
      <c r="U20" s="81" t="s">
        <v>24</v>
      </c>
      <c r="V20" s="79" t="s">
        <v>4</v>
      </c>
      <c r="W20" s="79" t="s">
        <v>4</v>
      </c>
      <c r="X20" s="79" t="s">
        <v>4</v>
      </c>
      <c r="Y20" s="79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80">
        <v>0.1</v>
      </c>
      <c r="U21" s="31" t="s">
        <v>28</v>
      </c>
      <c r="V21" s="79">
        <f>IF(T2=$V$19,U2,NA())</f>
        <v>91</v>
      </c>
      <c r="W21" s="79" t="e">
        <f>IF(T2=$W$19,U2,NA())</f>
        <v>#N/A</v>
      </c>
      <c r="X21" s="79" t="e">
        <f>IF(T2=$X$19,U2,NA())</f>
        <v>#N/A</v>
      </c>
      <c r="Y21" s="79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80">
        <v>2</v>
      </c>
      <c r="U22" s="31" t="s">
        <v>29</v>
      </c>
      <c r="V22" s="79">
        <f t="shared" ref="V22:V28" si="3">IF(T3=$V$19,U3,NA())</f>
        <v>94</v>
      </c>
      <c r="W22" s="79" t="e">
        <f t="shared" ref="W22:W28" si="4">IF(T3=$W$19,U3,NA())</f>
        <v>#N/A</v>
      </c>
      <c r="X22" s="79" t="e">
        <f t="shared" ref="X22:X28" si="5">IF(T3=$X$19,U3,NA())</f>
        <v>#N/A</v>
      </c>
      <c r="Y22" s="79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80">
        <v>3</v>
      </c>
      <c r="U23" s="31" t="s">
        <v>30</v>
      </c>
      <c r="V23" s="79" t="e">
        <f t="shared" si="3"/>
        <v>#N/A</v>
      </c>
      <c r="W23" s="79">
        <f t="shared" si="4"/>
        <v>99</v>
      </c>
      <c r="X23" s="79" t="e">
        <f t="shared" si="5"/>
        <v>#N/A</v>
      </c>
      <c r="Y23" s="79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80">
        <v>4</v>
      </c>
      <c r="U24" s="31" t="s">
        <v>31</v>
      </c>
      <c r="V24" s="79" t="e">
        <f t="shared" si="3"/>
        <v>#N/A</v>
      </c>
      <c r="W24" s="79" t="e">
        <f t="shared" si="4"/>
        <v>#N/A</v>
      </c>
      <c r="X24" s="79">
        <f t="shared" si="5"/>
        <v>100</v>
      </c>
      <c r="Y24" s="79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80">
        <v>1</v>
      </c>
      <c r="U25" s="31" t="s">
        <v>32</v>
      </c>
      <c r="V25" s="79" t="e">
        <f t="shared" si="3"/>
        <v>#N/A</v>
      </c>
      <c r="W25" s="79" t="e">
        <f t="shared" si="4"/>
        <v>#N/A</v>
      </c>
      <c r="X25" s="79" t="e">
        <f t="shared" si="5"/>
        <v>#N/A</v>
      </c>
      <c r="Y25" s="79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80">
        <v>3</v>
      </c>
      <c r="U26" s="31" t="s">
        <v>33</v>
      </c>
      <c r="V26" s="79" t="e">
        <f t="shared" si="3"/>
        <v>#N/A</v>
      </c>
      <c r="W26" s="79" t="e">
        <f t="shared" si="4"/>
        <v>#N/A</v>
      </c>
      <c r="X26" s="79" t="e">
        <f t="shared" si="5"/>
        <v>#N/A</v>
      </c>
      <c r="Y26" s="79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80">
        <v>1</v>
      </c>
      <c r="U27" s="31" t="s">
        <v>34</v>
      </c>
      <c r="V27" s="79" t="e">
        <f t="shared" si="3"/>
        <v>#N/A</v>
      </c>
      <c r="W27" s="79" t="e">
        <f t="shared" si="4"/>
        <v>#N/A</v>
      </c>
      <c r="X27" s="79">
        <f t="shared" si="5"/>
        <v>97</v>
      </c>
      <c r="Y27" s="79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80">
        <v>5</v>
      </c>
      <c r="U28" s="82" t="s">
        <v>35</v>
      </c>
      <c r="V28" s="79">
        <f t="shared" si="3"/>
        <v>94</v>
      </c>
      <c r="W28" s="79" t="e">
        <f t="shared" si="4"/>
        <v>#N/A</v>
      </c>
      <c r="X28" s="79" t="e">
        <f t="shared" si="5"/>
        <v>#N/A</v>
      </c>
      <c r="Y28" s="79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49" priority="14" operator="equal">
      <formula>"Red"</formula>
    </cfRule>
    <cfRule type="cellIs" dxfId="48" priority="15" operator="equal">
      <formula>"Amber"</formula>
    </cfRule>
    <cfRule type="cellIs" priority="16" operator="equal">
      <formula>"Amber"</formula>
    </cfRule>
    <cfRule type="cellIs" dxfId="47" priority="17" operator="equal">
      <formula>"Amber"</formula>
    </cfRule>
    <cfRule type="cellIs" dxfId="46" priority="18" operator="equal">
      <formula>"Blue"</formula>
    </cfRule>
  </conditionalFormatting>
  <conditionalFormatting sqref="R2:S9">
    <cfRule type="cellIs" dxfId="45" priority="9" operator="equal">
      <formula>"Red"</formula>
    </cfRule>
    <cfRule type="cellIs" dxfId="44" priority="10" operator="equal">
      <formula>"Amber"</formula>
    </cfRule>
    <cfRule type="cellIs" priority="11" operator="equal">
      <formula>"Amber"</formula>
    </cfRule>
    <cfRule type="cellIs" dxfId="43" priority="12" operator="equal">
      <formula>"Amber"</formula>
    </cfRule>
    <cfRule type="cellIs" dxfId="42" priority="13" operator="equal">
      <formula>"Blue"</formula>
    </cfRule>
  </conditionalFormatting>
  <conditionalFormatting sqref="U21:U28">
    <cfRule type="cellIs" dxfId="41" priority="1" operator="equal">
      <formula>"Red"</formula>
    </cfRule>
    <cfRule type="cellIs" dxfId="40" priority="2" operator="equal">
      <formula>"Amber"</formula>
    </cfRule>
    <cfRule type="cellIs" priority="3" operator="equal">
      <formula>"Amber"</formula>
    </cfRule>
    <cfRule type="cellIs" dxfId="39" priority="4" operator="equal">
      <formula>"Amber"</formula>
    </cfRule>
    <cfRule type="cellIs" dxfId="38" priority="5" operator="equal">
      <formula>"Blue"</formula>
    </cfRule>
  </conditionalFormatting>
  <dataValidations count="1">
    <dataValidation type="list" allowBlank="1" showInputMessage="1" showErrorMessage="1" sqref="R14" xr:uid="{497685C9-8984-433A-B450-F408F466AD92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0AD0-7CCA-4B55-8C28-676FEF4AFFC7}">
  <sheetPr codeName="Sheet3"/>
  <dimension ref="B40:O53"/>
  <sheetViews>
    <sheetView showGridLines="0" showRowColHeaders="0" tabSelected="1" topLeftCell="A31" zoomScaleNormal="100" workbookViewId="0">
      <selection activeCell="L45" sqref="L45"/>
    </sheetView>
  </sheetViews>
  <sheetFormatPr defaultRowHeight="15" x14ac:dyDescent="0.25"/>
  <cols>
    <col min="1" max="1" width="7.28515625" customWidth="1"/>
    <col min="2" max="11" width="11.85546875" customWidth="1"/>
    <col min="12" max="16" width="19.140625" customWidth="1"/>
    <col min="17" max="19" width="10.140625" customWidth="1"/>
  </cols>
  <sheetData>
    <row r="40" spans="2:15" x14ac:dyDescent="0.25">
      <c r="B40" s="86" t="s">
        <v>39</v>
      </c>
      <c r="C40" s="87"/>
      <c r="D40" s="87"/>
      <c r="E40" s="87"/>
      <c r="F40" s="87"/>
      <c r="G40" s="87"/>
      <c r="H40" s="87"/>
      <c r="I40" s="87"/>
      <c r="J40" s="88"/>
    </row>
    <row r="42" spans="2:15" x14ac:dyDescent="0.25">
      <c r="B42" s="64"/>
      <c r="C42" s="65" t="s">
        <v>7</v>
      </c>
      <c r="D42" s="65" t="s">
        <v>7</v>
      </c>
      <c r="E42" s="66" t="s">
        <v>25</v>
      </c>
      <c r="F42" s="65" t="s">
        <v>5</v>
      </c>
      <c r="G42" s="66" t="s">
        <v>9</v>
      </c>
      <c r="H42" s="66" t="s">
        <v>9</v>
      </c>
      <c r="I42" s="65" t="s">
        <v>5</v>
      </c>
      <c r="J42" s="65" t="s">
        <v>7</v>
      </c>
    </row>
    <row r="43" spans="2:15" x14ac:dyDescent="0.25">
      <c r="B43" s="67" t="s">
        <v>36</v>
      </c>
      <c r="C43" s="68">
        <v>91</v>
      </c>
      <c r="D43" s="68">
        <v>94</v>
      </c>
      <c r="E43" s="68">
        <v>99</v>
      </c>
      <c r="F43" s="68" t="s">
        <v>18</v>
      </c>
      <c r="G43" s="68" t="s">
        <v>18</v>
      </c>
      <c r="H43" s="68" t="s">
        <v>18</v>
      </c>
      <c r="I43" s="68" t="s">
        <v>18</v>
      </c>
      <c r="J43" s="68" t="s">
        <v>18</v>
      </c>
    </row>
    <row r="44" spans="2:15" x14ac:dyDescent="0.25">
      <c r="B44" s="67" t="s">
        <v>37</v>
      </c>
      <c r="C44" s="68" t="s">
        <v>18</v>
      </c>
      <c r="D44" s="68" t="s">
        <v>18</v>
      </c>
      <c r="E44" s="68" t="s">
        <v>18</v>
      </c>
      <c r="F44" s="68">
        <v>100</v>
      </c>
      <c r="G44" s="68">
        <v>93</v>
      </c>
      <c r="H44" s="68">
        <v>100</v>
      </c>
      <c r="I44" s="68" t="s">
        <v>18</v>
      </c>
      <c r="J44" s="68" t="s">
        <v>18</v>
      </c>
    </row>
    <row r="45" spans="2:15" x14ac:dyDescent="0.25">
      <c r="B45" s="67" t="s">
        <v>38</v>
      </c>
      <c r="C45" s="68" t="s">
        <v>18</v>
      </c>
      <c r="D45" s="68" t="s">
        <v>18</v>
      </c>
      <c r="E45" s="68" t="s">
        <v>18</v>
      </c>
      <c r="F45" s="68" t="s">
        <v>18</v>
      </c>
      <c r="G45" s="68" t="s">
        <v>18</v>
      </c>
      <c r="H45" s="68" t="s">
        <v>18</v>
      </c>
      <c r="I45" s="68">
        <v>97</v>
      </c>
      <c r="J45" s="68">
        <v>94</v>
      </c>
    </row>
    <row r="48" spans="2:15" x14ac:dyDescent="0.25">
      <c r="L48" s="89" t="s">
        <v>60</v>
      </c>
      <c r="M48" s="89"/>
      <c r="N48" s="89"/>
      <c r="O48" s="89"/>
    </row>
    <row r="50" spans="11:15" x14ac:dyDescent="0.25">
      <c r="K50" s="78"/>
      <c r="L50" s="73" t="s">
        <v>7</v>
      </c>
      <c r="M50" s="73" t="s">
        <v>25</v>
      </c>
      <c r="N50" s="73" t="s">
        <v>5</v>
      </c>
      <c r="O50" s="73" t="s">
        <v>9</v>
      </c>
    </row>
    <row r="51" spans="11:15" x14ac:dyDescent="0.25">
      <c r="K51" s="73" t="s">
        <v>36</v>
      </c>
      <c r="L51" s="73">
        <v>2</v>
      </c>
      <c r="M51" s="73">
        <v>1</v>
      </c>
      <c r="N51" s="73">
        <v>0</v>
      </c>
      <c r="O51" s="73">
        <v>0</v>
      </c>
    </row>
    <row r="52" spans="11:15" x14ac:dyDescent="0.25">
      <c r="K52" s="73" t="s">
        <v>37</v>
      </c>
      <c r="L52" s="73">
        <v>0</v>
      </c>
      <c r="M52" s="73">
        <v>0</v>
      </c>
      <c r="N52" s="73">
        <v>1</v>
      </c>
      <c r="O52" s="73">
        <v>2</v>
      </c>
    </row>
    <row r="53" spans="11:15" x14ac:dyDescent="0.25">
      <c r="K53" s="73" t="s">
        <v>38</v>
      </c>
      <c r="L53" s="73">
        <v>1</v>
      </c>
      <c r="M53" s="73">
        <v>0</v>
      </c>
      <c r="N53" s="73">
        <v>1</v>
      </c>
      <c r="O53" s="73">
        <v>0</v>
      </c>
    </row>
  </sheetData>
  <mergeCells count="2">
    <mergeCell ref="B40:J40"/>
    <mergeCell ref="L48:O48"/>
  </mergeCells>
  <conditionalFormatting sqref="C43:J45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73" r:id="rId4" name="HideAll">
          <controlPr defaultSize="0" autoLine="0" r:id="rId5">
            <anchor moveWithCells="1">
              <from>
                <xdr:col>0</xdr:col>
                <xdr:colOff>247650</xdr:colOff>
                <xdr:row>21</xdr:row>
                <xdr:rowOff>85725</xdr:rowOff>
              </from>
              <to>
                <xdr:col>9</xdr:col>
                <xdr:colOff>762000</xdr:colOff>
                <xdr:row>38</xdr:row>
                <xdr:rowOff>28575</xdr:rowOff>
              </to>
            </anchor>
          </controlPr>
        </control>
      </mc:Choice>
      <mc:Fallback>
        <control shapeId="19473" r:id="rId4" name="HideAll"/>
      </mc:Fallback>
    </mc:AlternateContent>
    <mc:AlternateContent xmlns:mc="http://schemas.openxmlformats.org/markup-compatibility/2006">
      <mc:Choice Requires="x14">
        <control shapeId="19472" r:id="rId6" name="L2">
          <controlPr defaultSize="0" autoLine="0" r:id="rId7">
            <anchor moveWithCells="1">
              <from>
                <xdr:col>2</xdr:col>
                <xdr:colOff>685800</xdr:colOff>
                <xdr:row>30</xdr:row>
                <xdr:rowOff>161925</xdr:rowOff>
              </from>
              <to>
                <xdr:col>3</xdr:col>
                <xdr:colOff>257175</xdr:colOff>
                <xdr:row>32</xdr:row>
                <xdr:rowOff>76200</xdr:rowOff>
              </to>
            </anchor>
          </controlPr>
        </control>
      </mc:Choice>
      <mc:Fallback>
        <control shapeId="19472" r:id="rId6" name="L2"/>
      </mc:Fallback>
    </mc:AlternateContent>
    <mc:AlternateContent xmlns:mc="http://schemas.openxmlformats.org/markup-compatibility/2006">
      <mc:Choice Requires="x14">
        <control shapeId="19471" r:id="rId8" name="L3">
          <controlPr defaultSize="0" autoLine="0" r:id="rId9">
            <anchor moveWithCells="1">
              <from>
                <xdr:col>3</xdr:col>
                <xdr:colOff>381000</xdr:colOff>
                <xdr:row>25</xdr:row>
                <xdr:rowOff>85725</xdr:rowOff>
              </from>
              <to>
                <xdr:col>4</xdr:col>
                <xdr:colOff>47625</xdr:colOff>
                <xdr:row>27</xdr:row>
                <xdr:rowOff>152400</xdr:rowOff>
              </to>
            </anchor>
          </controlPr>
        </control>
      </mc:Choice>
      <mc:Fallback>
        <control shapeId="19471" r:id="rId8" name="L3"/>
      </mc:Fallback>
    </mc:AlternateContent>
    <mc:AlternateContent xmlns:mc="http://schemas.openxmlformats.org/markup-compatibility/2006">
      <mc:Choice Requires="x14">
        <control shapeId="19470" r:id="rId10" name="L4">
          <controlPr defaultSize="0" autoLine="0" r:id="rId11">
            <anchor moveWithCells="1">
              <from>
                <xdr:col>4</xdr:col>
                <xdr:colOff>133350</xdr:colOff>
                <xdr:row>24</xdr:row>
                <xdr:rowOff>76200</xdr:rowOff>
              </from>
              <to>
                <xdr:col>4</xdr:col>
                <xdr:colOff>581025</xdr:colOff>
                <xdr:row>26</xdr:row>
                <xdr:rowOff>152400</xdr:rowOff>
              </to>
            </anchor>
          </controlPr>
        </control>
      </mc:Choice>
      <mc:Fallback>
        <control shapeId="19470" r:id="rId10" name="L4"/>
      </mc:Fallback>
    </mc:AlternateContent>
    <mc:AlternateContent xmlns:mc="http://schemas.openxmlformats.org/markup-compatibility/2006">
      <mc:Choice Requires="x14">
        <control shapeId="19469" r:id="rId12" name="L5">
          <controlPr defaultSize="0" autoLine="0" autoPict="0" r:id="rId13">
            <anchor moveWithCells="1">
              <from>
                <xdr:col>4</xdr:col>
                <xdr:colOff>733425</xdr:colOff>
                <xdr:row>31</xdr:row>
                <xdr:rowOff>142875</xdr:rowOff>
              </from>
              <to>
                <xdr:col>5</xdr:col>
                <xdr:colOff>209550</xdr:colOff>
                <xdr:row>33</xdr:row>
                <xdr:rowOff>85725</xdr:rowOff>
              </to>
            </anchor>
          </controlPr>
        </control>
      </mc:Choice>
      <mc:Fallback>
        <control shapeId="19469" r:id="rId12" name="L5"/>
      </mc:Fallback>
    </mc:AlternateContent>
    <mc:AlternateContent xmlns:mc="http://schemas.openxmlformats.org/markup-compatibility/2006">
      <mc:Choice Requires="x14">
        <control shapeId="19468" r:id="rId14" name="L6">
          <controlPr defaultSize="0" autoLine="0" autoPict="0" r:id="rId15">
            <anchor moveWithCells="1">
              <from>
                <xdr:col>5</xdr:col>
                <xdr:colOff>304800</xdr:colOff>
                <xdr:row>24</xdr:row>
                <xdr:rowOff>28575</xdr:rowOff>
              </from>
              <to>
                <xdr:col>6</xdr:col>
                <xdr:colOff>85725</xdr:colOff>
                <xdr:row>27</xdr:row>
                <xdr:rowOff>47625</xdr:rowOff>
              </to>
            </anchor>
          </controlPr>
        </control>
      </mc:Choice>
      <mc:Fallback>
        <control shapeId="19468" r:id="rId14" name="L6"/>
      </mc:Fallback>
    </mc:AlternateContent>
    <mc:AlternateContent xmlns:mc="http://schemas.openxmlformats.org/markup-compatibility/2006">
      <mc:Choice Requires="x14">
        <control shapeId="19467" r:id="rId16" name="L7">
          <controlPr defaultSize="0" autoLine="0" r:id="rId17">
            <anchor moveWithCells="1">
              <from>
                <xdr:col>6</xdr:col>
                <xdr:colOff>180975</xdr:colOff>
                <xdr:row>28</xdr:row>
                <xdr:rowOff>19050</xdr:rowOff>
              </from>
              <to>
                <xdr:col>6</xdr:col>
                <xdr:colOff>457200</xdr:colOff>
                <xdr:row>29</xdr:row>
                <xdr:rowOff>76200</xdr:rowOff>
              </to>
            </anchor>
          </controlPr>
        </control>
      </mc:Choice>
      <mc:Fallback>
        <control shapeId="19467" r:id="rId16" name="L7"/>
      </mc:Fallback>
    </mc:AlternateContent>
    <mc:AlternateContent xmlns:mc="http://schemas.openxmlformats.org/markup-compatibility/2006">
      <mc:Choice Requires="x14">
        <control shapeId="19466" r:id="rId18" name="L8">
          <controlPr defaultSize="0" autoLine="0" r:id="rId19">
            <anchor moveWithCells="1">
              <from>
                <xdr:col>6</xdr:col>
                <xdr:colOff>581025</xdr:colOff>
                <xdr:row>30</xdr:row>
                <xdr:rowOff>38100</xdr:rowOff>
              </from>
              <to>
                <xdr:col>7</xdr:col>
                <xdr:colOff>381000</xdr:colOff>
                <xdr:row>33</xdr:row>
                <xdr:rowOff>38100</xdr:rowOff>
              </to>
            </anchor>
          </controlPr>
        </control>
      </mc:Choice>
      <mc:Fallback>
        <control shapeId="19466" r:id="rId18" name="L8"/>
      </mc:Fallback>
    </mc:AlternateContent>
    <mc:AlternateContent xmlns:mc="http://schemas.openxmlformats.org/markup-compatibility/2006">
      <mc:Choice Requires="x14">
        <control shapeId="19465" r:id="rId20" name="L1">
          <controlPr defaultSize="0" autoLine="0" autoPict="0" r:id="rId21">
            <anchor moveWithCells="1">
              <from>
                <xdr:col>2</xdr:col>
                <xdr:colOff>228600</xdr:colOff>
                <xdr:row>34</xdr:row>
                <xdr:rowOff>38100</xdr:rowOff>
              </from>
              <to>
                <xdr:col>2</xdr:col>
                <xdr:colOff>428625</xdr:colOff>
                <xdr:row>35</xdr:row>
                <xdr:rowOff>9525</xdr:rowOff>
              </to>
            </anchor>
          </controlPr>
        </control>
      </mc:Choice>
      <mc:Fallback>
        <control shapeId="19465" r:id="rId20" name="L1"/>
      </mc:Fallback>
    </mc:AlternateContent>
    <mc:AlternateContent xmlns:mc="http://schemas.openxmlformats.org/markup-compatibility/2006">
      <mc:Choice Requires="x14">
        <control shapeId="19474" r:id="rId22" name="LL1">
          <controlPr defaultSize="0" autoLine="0" r:id="rId23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781050</xdr:colOff>
                <xdr:row>42</xdr:row>
                <xdr:rowOff>180975</xdr:rowOff>
              </to>
            </anchor>
          </controlPr>
        </control>
      </mc:Choice>
      <mc:Fallback>
        <control shapeId="19474" r:id="rId22" name="LL1"/>
      </mc:Fallback>
    </mc:AlternateContent>
    <mc:AlternateContent xmlns:mc="http://schemas.openxmlformats.org/markup-compatibility/2006">
      <mc:Choice Requires="x14">
        <control shapeId="19475" r:id="rId24" name="LL2">
          <controlPr defaultSize="0" autoLine="0" r:id="rId23">
            <anchor moveWithCells="1">
              <from>
                <xdr:col>3</xdr:col>
                <xdr:colOff>0</xdr:colOff>
                <xdr:row>42</xdr:row>
                <xdr:rowOff>9525</xdr:rowOff>
              </from>
              <to>
                <xdr:col>3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5" r:id="rId24" name="LL2"/>
      </mc:Fallback>
    </mc:AlternateContent>
    <mc:AlternateContent xmlns:mc="http://schemas.openxmlformats.org/markup-compatibility/2006">
      <mc:Choice Requires="x14">
        <control shapeId="19476" r:id="rId25" name="LL3">
          <controlPr defaultSize="0" autoLine="0" r:id="rId23">
            <anchor moveWithCells="1">
              <from>
                <xdr:col>4</xdr:col>
                <xdr:colOff>0</xdr:colOff>
                <xdr:row>42</xdr:row>
                <xdr:rowOff>9525</xdr:rowOff>
              </from>
              <to>
                <xdr:col>4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6" r:id="rId25" name="LL3"/>
      </mc:Fallback>
    </mc:AlternateContent>
    <mc:AlternateContent xmlns:mc="http://schemas.openxmlformats.org/markup-compatibility/2006">
      <mc:Choice Requires="x14">
        <control shapeId="19477" r:id="rId26" name="LL4">
          <controlPr defaultSize="0" autoLine="0" r:id="rId23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7" r:id="rId26" name="LL4"/>
      </mc:Fallback>
    </mc:AlternateContent>
    <mc:AlternateContent xmlns:mc="http://schemas.openxmlformats.org/markup-compatibility/2006">
      <mc:Choice Requires="x14">
        <control shapeId="19478" r:id="rId27" name="LL5">
          <controlPr defaultSize="0" autoLine="0" r:id="rId23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8" r:id="rId27" name="LL5"/>
      </mc:Fallback>
    </mc:AlternateContent>
    <mc:AlternateContent xmlns:mc="http://schemas.openxmlformats.org/markup-compatibility/2006">
      <mc:Choice Requires="x14">
        <control shapeId="19479" r:id="rId28" name="LL6">
          <controlPr defaultSize="0" autoLine="0" r:id="rId23">
            <anchor moveWithCells="1">
              <from>
                <xdr:col>7</xdr:col>
                <xdr:colOff>0</xdr:colOff>
                <xdr:row>43</xdr:row>
                <xdr:rowOff>9525</xdr:rowOff>
              </from>
              <to>
                <xdr:col>7</xdr:col>
                <xdr:colOff>781050</xdr:colOff>
                <xdr:row>44</xdr:row>
                <xdr:rowOff>0</xdr:rowOff>
              </to>
            </anchor>
          </controlPr>
        </control>
      </mc:Choice>
      <mc:Fallback>
        <control shapeId="19479" r:id="rId28" name="LL6"/>
      </mc:Fallback>
    </mc:AlternateContent>
    <mc:AlternateContent xmlns:mc="http://schemas.openxmlformats.org/markup-compatibility/2006">
      <mc:Choice Requires="x14">
        <control shapeId="19480" r:id="rId29" name="LL7">
          <controlPr defaultSize="0" autoLine="0" r:id="rId23">
            <anchor moveWithCells="1">
              <from>
                <xdr:col>8</xdr:col>
                <xdr:colOff>9525</xdr:colOff>
                <xdr:row>44</xdr:row>
                <xdr:rowOff>9525</xdr:rowOff>
              </from>
              <to>
                <xdr:col>9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0" r:id="rId29" name="LL7"/>
      </mc:Fallback>
    </mc:AlternateContent>
    <mc:AlternateContent xmlns:mc="http://schemas.openxmlformats.org/markup-compatibility/2006">
      <mc:Choice Requires="x14">
        <control shapeId="19481" r:id="rId30" name="LL8">
          <controlPr defaultSize="0" autoLine="0" r:id="rId23">
            <anchor moveWithCells="1">
              <from>
                <xdr:col>9</xdr:col>
                <xdr:colOff>9525</xdr:colOff>
                <xdr:row>44</xdr:row>
                <xdr:rowOff>9525</xdr:rowOff>
              </from>
              <to>
                <xdr:col>10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1" r:id="rId30" name="LL8"/>
      </mc:Fallback>
    </mc:AlternateContent>
    <mc:AlternateContent xmlns:mc="http://schemas.openxmlformats.org/markup-compatibility/2006">
      <mc:Choice Requires="x14">
        <control shapeId="19482" r:id="rId31" name="HideAll_1">
          <controlPr defaultSize="0" autoLine="0" r:id="rId32">
            <anchor moveWithCells="1">
              <from>
                <xdr:col>0</xdr:col>
                <xdr:colOff>0</xdr:colOff>
                <xdr:row>38</xdr:row>
                <xdr:rowOff>104775</xdr:rowOff>
              </from>
              <to>
                <xdr:col>10</xdr:col>
                <xdr:colOff>104775</xdr:colOff>
                <xdr:row>47</xdr:row>
                <xdr:rowOff>123825</xdr:rowOff>
              </to>
            </anchor>
          </controlPr>
        </control>
      </mc:Choice>
      <mc:Fallback>
        <control shapeId="19482" r:id="rId31" name="HideAll_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table</vt:lpstr>
      <vt:lpstr>Single Ride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2023-02-07T07:01:27Z</dcterms:modified>
</cp:coreProperties>
</file>